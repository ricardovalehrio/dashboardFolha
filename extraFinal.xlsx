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rofessor.cetafaju\Downloads\"/>
    </mc:Choice>
  </mc:AlternateContent>
  <xr:revisionPtr revIDLastSave="0" documentId="13_ncr:1_{55CB72F9-AF2D-4CA2-BF09-8C4FE6F299EC}" xr6:coauthVersionLast="47" xr6:coauthVersionMax="47" xr10:uidLastSave="{00000000-0000-0000-0000-000000000000}"/>
  <bookViews>
    <workbookView xWindow="-120" yWindow="-120" windowWidth="29040" windowHeight="15720" firstSheet="4" activeTab="4" xr2:uid="{00000000-000D-0000-FFFF-FFFF00000000}"/>
  </bookViews>
  <sheets>
    <sheet name="Plan3" sheetId="2" state="hidden" r:id="rId1"/>
    <sheet name="Plan4" sheetId="3" state="hidden" r:id="rId2"/>
    <sheet name="Plan6" sheetId="4" state="hidden" r:id="rId3"/>
    <sheet name="Plan11" sheetId="5" state="hidden" r:id="rId4"/>
    <sheet name="EMPRESA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10" roundtripDataSignature="AMtx7mhg7Xg1AKtRieJ/bYQamMRrW1zNNw=="/>
    </ext>
  </extLst>
</workbook>
</file>

<file path=xl/calcChain.xml><?xml version="1.0" encoding="utf-8"?>
<calcChain xmlns="http://schemas.openxmlformats.org/spreadsheetml/2006/main">
  <c r="D38" i="4" l="1"/>
  <c r="D37" i="4"/>
  <c r="D36" i="4"/>
  <c r="D35" i="4"/>
  <c r="D34" i="4"/>
  <c r="D33" i="4"/>
  <c r="D32" i="4"/>
  <c r="D31" i="4"/>
</calcChain>
</file>

<file path=xl/sharedStrings.xml><?xml version="1.0" encoding="utf-8"?>
<sst xmlns="http://schemas.openxmlformats.org/spreadsheetml/2006/main" count="194" uniqueCount="166">
  <si>
    <t>Movimentação da Academia</t>
  </si>
  <si>
    <t>Mês</t>
  </si>
  <si>
    <t>Quant./Aluno</t>
  </si>
  <si>
    <t>Mensalidade</t>
  </si>
  <si>
    <t>Salário</t>
  </si>
  <si>
    <t xml:space="preserve">Manutenção </t>
  </si>
  <si>
    <t>Água</t>
  </si>
  <si>
    <t>Energia</t>
  </si>
  <si>
    <t>Total/Custo</t>
  </si>
  <si>
    <t>Lucro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</si>
  <si>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</si>
  <si>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</si>
  <si>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</si>
  <si>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</si>
  <si>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</si>
  <si>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</si>
  <si>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</si>
  <si>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</si>
  <si>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</si>
  <si>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</si>
  <si>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</si>
  <si>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</si>
  <si>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Total/Lucro</t>
  </si>
  <si>
    <t>Maior/Lucro</t>
  </si>
  <si>
    <t>Menor/Lucro</t>
  </si>
  <si>
    <t>Média/Lucro</t>
  </si>
  <si>
    <t>Exportação de frutas</t>
  </si>
  <si>
    <t>Fruta</t>
  </si>
  <si>
    <t>Destino</t>
  </si>
  <si>
    <t>Quantidade</t>
  </si>
  <si>
    <t>Unidade</t>
  </si>
  <si>
    <t>Valor Unitário</t>
  </si>
  <si>
    <t>Preço/Fruta</t>
  </si>
  <si>
    <t>Valor/Frete</t>
  </si>
  <si>
    <t>Valor/Imposto</t>
  </si>
  <si>
    <t>Valor/Custo</t>
  </si>
  <si>
    <t>Preço/Final</t>
  </si>
  <si>
    <t>Preço/Final em Dólar</t>
  </si>
  <si>
    <t>Mangaba</t>
  </si>
  <si>
    <t>Canadá</t>
  </si>
  <si>
    <t>Kg</t>
  </si>
  <si>
    <t>Goiaba</t>
  </si>
  <si>
    <t>Itália</t>
  </si>
  <si>
    <t>Coco</t>
  </si>
  <si>
    <t>Alemanha</t>
  </si>
  <si>
    <t>Laranja</t>
  </si>
  <si>
    <t>França</t>
  </si>
  <si>
    <t>Abacaxi</t>
  </si>
  <si>
    <t>Inglaterra</t>
  </si>
  <si>
    <t>Abacate</t>
  </si>
  <si>
    <t>Argentina</t>
  </si>
  <si>
    <t xml:space="preserve">Manga </t>
  </si>
  <si>
    <t>Espanha</t>
  </si>
  <si>
    <t>Uva</t>
  </si>
  <si>
    <t>México</t>
  </si>
  <si>
    <t>Pitanga</t>
  </si>
  <si>
    <t>Rússia</t>
  </si>
  <si>
    <t>Acerola</t>
  </si>
  <si>
    <t>Banana</t>
  </si>
  <si>
    <t>Japão</t>
  </si>
  <si>
    <t>Total - Preço/Final</t>
  </si>
  <si>
    <t>Maior - Preço/Final</t>
  </si>
  <si>
    <t>Menor - Preço/Final</t>
  </si>
  <si>
    <t>Média - Preço/Final</t>
  </si>
  <si>
    <t>Comissão Dos Vendedores</t>
  </si>
  <si>
    <t>Vendedor</t>
  </si>
  <si>
    <t>Valor vendido</t>
  </si>
  <si>
    <t>Valor Comissão</t>
  </si>
  <si>
    <t xml:space="preserve">Salário </t>
  </si>
  <si>
    <t>Adriano Costa</t>
  </si>
  <si>
    <t>Bruna Sampaio</t>
  </si>
  <si>
    <t>José Moreira</t>
  </si>
  <si>
    <t>Margarida Florida</t>
  </si>
  <si>
    <t>Magnólia Branca</t>
  </si>
  <si>
    <t>Renato Augusto</t>
  </si>
  <si>
    <t>Ricardo Fontes</t>
  </si>
  <si>
    <t>Saulo Menezes</t>
  </si>
  <si>
    <t>Total/Salário</t>
  </si>
  <si>
    <t>Maior/Salário</t>
  </si>
  <si>
    <t>Menor/Salário</t>
  </si>
  <si>
    <t>Média/Salário</t>
  </si>
  <si>
    <t>Controle de Comissão de vendas</t>
  </si>
  <si>
    <t>Tipo vendedor</t>
  </si>
  <si>
    <t>Vendas</t>
  </si>
  <si>
    <t>Valor da Comissão</t>
  </si>
  <si>
    <t>Salário Base</t>
  </si>
  <si>
    <t>Vendas por Metas</t>
  </si>
  <si>
    <t>Vendedora</t>
  </si>
  <si>
    <t>Meta</t>
  </si>
  <si>
    <t>Valor Vendido</t>
  </si>
  <si>
    <t>Comissão</t>
  </si>
  <si>
    <t>Valor a Receber</t>
  </si>
  <si>
    <t>Situação</t>
  </si>
  <si>
    <t>Adriana Monteiro</t>
  </si>
  <si>
    <t>Bruna Maria de Jesus</t>
  </si>
  <si>
    <t>Jozefina Marques</t>
  </si>
  <si>
    <t>Leandra Marquezine</t>
  </si>
  <si>
    <t>Maria Jurema</t>
  </si>
  <si>
    <t>Marilia Souza</t>
  </si>
  <si>
    <t>Michelle Araujo</t>
  </si>
  <si>
    <t>Nazaré Alves</t>
  </si>
  <si>
    <t>Roberta Santos</t>
  </si>
  <si>
    <t>Tatiane Pereira</t>
  </si>
  <si>
    <t>Total Valor à receber</t>
  </si>
  <si>
    <t>Maior Valor à receber</t>
  </si>
  <si>
    <t>Menor Valor à receber</t>
  </si>
  <si>
    <t>Média Valor à receber</t>
  </si>
  <si>
    <t>Empresa XYZ</t>
  </si>
  <si>
    <t>Imposto de Renda Receita</t>
  </si>
  <si>
    <t>Valor da Hora Extra</t>
  </si>
  <si>
    <t>Nível Funcional</t>
  </si>
  <si>
    <t>Nome</t>
  </si>
  <si>
    <t>Sobrenome</t>
  </si>
  <si>
    <t>Nome Completo</t>
  </si>
  <si>
    <t>Salário Bruto</t>
  </si>
  <si>
    <t>INSS</t>
  </si>
  <si>
    <t>Gratificação</t>
  </si>
  <si>
    <t>INSS R$</t>
  </si>
  <si>
    <t>Imposto de Renda R$</t>
  </si>
  <si>
    <t>Gratificação R$</t>
  </si>
  <si>
    <t>Hora Extra (trab.)</t>
  </si>
  <si>
    <t>Hora Extra (Total.)</t>
  </si>
  <si>
    <t>Número de Filhos</t>
  </si>
  <si>
    <t>Escola dos Filhos (Mensalidade)</t>
  </si>
  <si>
    <t>Valor da Mensalidade com Desconto</t>
  </si>
  <si>
    <t>Descontos</t>
  </si>
  <si>
    <t>Salário Líquido</t>
  </si>
  <si>
    <t xml:space="preserve">Eduardo </t>
  </si>
  <si>
    <t>Soares Lima</t>
  </si>
  <si>
    <t xml:space="preserve">Maria </t>
  </si>
  <si>
    <t>Silva Soares</t>
  </si>
  <si>
    <t xml:space="preserve">Helena </t>
  </si>
  <si>
    <t>Lopes Gregório</t>
  </si>
  <si>
    <t xml:space="preserve">Gabriela </t>
  </si>
  <si>
    <t>Mota de Azevedo</t>
  </si>
  <si>
    <t xml:space="preserve">Edson </t>
  </si>
  <si>
    <t>Macedo Farias</t>
  </si>
  <si>
    <t xml:space="preserve">Elisangela </t>
  </si>
  <si>
    <t>Lima da Silva</t>
  </si>
  <si>
    <t xml:space="preserve">Regina </t>
  </si>
  <si>
    <t>Oliveira dos Santos</t>
  </si>
  <si>
    <t xml:space="preserve">Paulo </t>
  </si>
  <si>
    <t>Hortêncio Menezes</t>
  </si>
  <si>
    <t xml:space="preserve">Vanessa </t>
  </si>
  <si>
    <t>Lima de Souza</t>
  </si>
  <si>
    <t>Sampaio Correia</t>
  </si>
  <si>
    <t xml:space="preserve">Neilton </t>
  </si>
  <si>
    <t>Firmino Távora</t>
  </si>
  <si>
    <t xml:space="preserve">Tales </t>
  </si>
  <si>
    <t>Dilton Santos</t>
  </si>
  <si>
    <t xml:space="preserve">Eva </t>
  </si>
  <si>
    <t>Farias Santos</t>
  </si>
  <si>
    <t xml:space="preserve">Paula </t>
  </si>
  <si>
    <t>Olindo Pimentel</t>
  </si>
  <si>
    <t xml:space="preserve">Keven </t>
  </si>
  <si>
    <t>Ribeiro Mota</t>
  </si>
  <si>
    <t xml:space="preserve">Orlando </t>
  </si>
  <si>
    <t>Conceição Nunes</t>
  </si>
  <si>
    <t>Maior Gratificação R$</t>
  </si>
  <si>
    <t>Menor Gratificação R$</t>
  </si>
  <si>
    <t>Média do Salário Líquido</t>
  </si>
  <si>
    <t>Quant. Funcionários</t>
  </si>
  <si>
    <t>MAior Imposto de Renda R$</t>
  </si>
  <si>
    <t>Menor Imposto de Renda R$</t>
  </si>
  <si>
    <t>Maior Salário Líquido</t>
  </si>
  <si>
    <t>Menor Salário Líquido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</si>
</sst>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164" formatCode="_-&quot;R$&quot;\ * #,##0.00_-;\-&quot;R$&quot;\ * #,##0.00_-;_-&quot;R$&quot;\ * &quot;-&quot;??_-;_-@"/>
    <numFmt numFmtId="165" formatCode="&quot;R$&quot;\ #,##0.00"/>
    <numFmt numFmtId="166" formatCode="0.0%"/>
  </numFmts>
  <fonts count="16" x14ac:knownFonts="1">
    <font>
      <sz val="11"/>
      <color theme="1"/>
      <name val="Calibri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22"/>
      <color rgb="FF0070C0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9C3"/>
        <bgColor rgb="FFDDD9C3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 applyFont="1" applyAlignment="1"/>
    <xf numFmtId="0" fontId="1" fillId="0" borderId="1" xfId="0" applyFont="1" applyBorder="1"/>
    <xf numFmtId="0" fontId="1" fillId="0" borderId="0" xfId="0" applyFont="1"/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0" xfId="0" applyFont="1" applyAlignment="1">
      <alignment horizontal="left" readingOrder="1"/>
    </xf>
    <xf numFmtId="0" fontId="4" fillId="0" borderId="0" xfId="0" applyFont="1" applyAlignment="1">
      <alignment horizontal="left" readingOrder="1"/>
    </xf>
    <xf numFmtId="0" fontId="5" fillId="0" borderId="0" xfId="0" applyFont="1" applyAlignment="1">
      <alignment horizontal="left" readingOrder="1"/>
    </xf>
    <xf numFmtId="0" fontId="1" fillId="0" borderId="1" xfId="0" applyFont="1" applyBorder="1" applyAlignment="1">
      <alignment wrapText="1"/>
    </xf>
    <xf numFmtId="164" fontId="1" fillId="0" borderId="1" xfId="0" applyNumberFormat="1" applyFont="1" applyBorder="1"/>
    <xf numFmtId="164" fontId="1" fillId="0" borderId="0" xfId="0" applyNumberFormat="1" applyFont="1"/>
    <xf numFmtId="0" fontId="7" fillId="0" borderId="1" xfId="0" applyFont="1" applyBorder="1"/>
    <xf numFmtId="0" fontId="0" fillId="0" borderId="1" xfId="0" applyFont="1" applyBorder="1"/>
    <xf numFmtId="164" fontId="0" fillId="0" borderId="1" xfId="0" applyNumberFormat="1" applyFont="1" applyBorder="1"/>
    <xf numFmtId="0" fontId="7" fillId="0" borderId="1" xfId="0" applyFont="1" applyBorder="1" applyAlignment="1">
      <alignment wrapText="1"/>
    </xf>
    <xf numFmtId="0" fontId="7" fillId="0" borderId="0" xfId="0" applyFont="1"/>
    <xf numFmtId="0" fontId="9" fillId="0" borderId="0" xfId="0" applyFont="1" applyAlignment="1">
      <alignment horizontal="center" vertical="center" wrapText="1"/>
    </xf>
    <xf numFmtId="10" fontId="10" fillId="0" borderId="1" xfId="0" applyNumberFormat="1" applyFont="1" applyBorder="1" applyAlignment="1">
      <alignment horizontal="center" vertical="center" wrapText="1"/>
    </xf>
    <xf numFmtId="165" fontId="10" fillId="0" borderId="1" xfId="0" applyNumberFormat="1" applyFont="1" applyBorder="1" applyAlignment="1">
      <alignment horizontal="center" vertical="center" wrapText="1"/>
    </xf>
    <xf numFmtId="0" fontId="11" fillId="0" borderId="9" xfId="0" applyFont="1" applyBorder="1" applyAlignment="1">
      <alignment horizontal="right" vertical="center" wrapText="1"/>
    </xf>
    <xf numFmtId="0" fontId="12" fillId="0" borderId="0" xfId="0" applyFont="1"/>
    <xf numFmtId="0" fontId="13" fillId="3" borderId="10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4" fillId="3" borderId="1" xfId="0" applyFont="1" applyFill="1" applyBorder="1" applyAlignment="1"/>
    <xf numFmtId="0" fontId="15" fillId="0" borderId="1" xfId="0" applyFont="1" applyBorder="1"/>
    <xf numFmtId="0" fontId="1" fillId="0" borderId="2" xfId="0" applyFont="1" applyBorder="1" applyAlignment="1">
      <alignment horizontal="center"/>
    </xf>
    <xf numFmtId="0" fontId="6" fillId="0" borderId="3" xfId="0" applyFont="1" applyBorder="1"/>
    <xf numFmtId="0" fontId="6" fillId="0" borderId="4" xfId="0" applyFont="1" applyBorder="1"/>
    <xf numFmtId="0" fontId="1" fillId="0" borderId="2" xfId="0" applyFont="1" applyBorder="1"/>
    <xf numFmtId="0" fontId="7" fillId="0" borderId="2" xfId="0" applyFont="1" applyBorder="1"/>
    <xf numFmtId="0" fontId="7" fillId="0" borderId="2" xfId="0" applyFont="1" applyBorder="1" applyAlignment="1">
      <alignment horizontal="center"/>
    </xf>
    <xf numFmtId="164" fontId="0" fillId="0" borderId="2" xfId="0" applyNumberFormat="1" applyFont="1" applyBorder="1"/>
    <xf numFmtId="0" fontId="8" fillId="2" borderId="5" xfId="0" applyFont="1" applyFill="1" applyBorder="1" applyAlignment="1">
      <alignment horizontal="center" vertical="center" wrapText="1"/>
    </xf>
    <xf numFmtId="0" fontId="6" fillId="0" borderId="6" xfId="0" applyFont="1" applyBorder="1"/>
    <xf numFmtId="0" fontId="6" fillId="0" borderId="7" xfId="0" applyFont="1" applyBorder="1"/>
    <xf numFmtId="0" fontId="9" fillId="0" borderId="8" xfId="0" applyFont="1" applyBorder="1" applyAlignment="1">
      <alignment horizontal="center" vertical="center" wrapText="1"/>
    </xf>
    <xf numFmtId="0" fontId="0" fillId="0" borderId="0" xfId="0" applyFont="1" applyAlignment="1"/>
    <xf numFmtId="0" fontId="10" fillId="2" borderId="2" xfId="0" applyFont="1" applyFill="1" applyBorder="1" applyAlignment="1">
      <alignment horizontal="center" vertical="center" wrapText="1"/>
    </xf>
    <xf numFmtId="165" fontId="11" fillId="0" borderId="19" xfId="0" applyNumberFormat="1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8" fontId="11" fillId="0" borderId="18" xfId="0" applyNumberFormat="1" applyFont="1" applyBorder="1" applyAlignment="1">
      <alignment horizontal="center" vertical="center" wrapText="1"/>
    </xf>
    <xf numFmtId="166" fontId="11" fillId="0" borderId="18" xfId="0" applyNumberFormat="1" applyFont="1" applyBorder="1" applyAlignment="1">
      <alignment horizontal="center" vertical="center" wrapText="1"/>
    </xf>
    <xf numFmtId="165" fontId="11" fillId="0" borderId="18" xfId="0" applyNumberFormat="1" applyFont="1" applyBorder="1" applyAlignment="1">
      <alignment horizontal="center" vertical="center" wrapText="1"/>
    </xf>
    <xf numFmtId="8" fontId="11" fillId="0" borderId="19" xfId="0" applyNumberFormat="1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8" fontId="11" fillId="0" borderId="21" xfId="0" applyNumberFormat="1" applyFont="1" applyBorder="1" applyAlignment="1">
      <alignment horizontal="center" vertical="center" wrapText="1"/>
    </xf>
    <xf numFmtId="166" fontId="11" fillId="0" borderId="21" xfId="0" applyNumberFormat="1" applyFont="1" applyBorder="1" applyAlignment="1">
      <alignment horizontal="center" vertical="center" wrapText="1"/>
    </xf>
    <xf numFmtId="165" fontId="11" fillId="0" borderId="2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20</xdr:row>
      <xdr:rowOff>123825</xdr:rowOff>
    </xdr:from>
    <xdr:ext cx="6753225" cy="26670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1972256" y="2450245"/>
          <a:ext cx="6747488" cy="2659511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 b="1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Cálculos</a:t>
          </a:r>
          <a:endParaRPr sz="1400" b="1" u="sng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Água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Quant./Aluno multiplicado por 3,75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Energia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Quant./Aluno multiplicado por 5,85;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Total/Custo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somar: Salário, Água, Energia, Manutenção;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Lucro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Quant./Aluno multiplicado pela mensalidade suubtraído do total/Custo;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Total/Lucro: 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soma da coluna Lucro;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Maior/Lucro: 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Retornar o maior valor da coluna lucro;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Menor/Lucro: 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Retornar o menor valor da coluna Lucro;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Média/Lucro: 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Retornar a média da coluna lucro.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6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20</xdr:row>
      <xdr:rowOff>114300</xdr:rowOff>
    </xdr:from>
    <xdr:ext cx="4476750" cy="21621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3108432" y="2700538"/>
          <a:ext cx="4475136" cy="2158924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Cálculos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Preço/Fruta</a:t>
          </a: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Quantidade multiplicado pelo Valor unitário;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Valor/Frete</a:t>
          </a: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Preço/Fruta multiplicado por 3%;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Valor/Imposto</a:t>
          </a: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Preço/Fruta multiplicado por 17%;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Valor/Custo</a:t>
          </a: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soma do Valor/Frete com o Valor/Imposto;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Preço/Final: </a:t>
          </a: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Preço/Fruta subtraído do valor Custo;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Preço/Final em Dólar:</a:t>
          </a: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Preço/Final dividido por 1,54;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Total - Preço/Final: </a:t>
          </a:r>
          <a:r>
            <a:rPr lang="en-US" sz="12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Soma da coluna Preço/Final;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alibri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Maior- Preço/Final: </a:t>
          </a: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Retornar o maior valor da coluna </a:t>
          </a:r>
          <a:r>
            <a:rPr lang="en-US" sz="12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Preço/Final;</a:t>
          </a:r>
          <a:endParaRPr sz="12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alibri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Menor - Preço/Final:  </a:t>
          </a: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Retornar o menor valor da coluna </a:t>
          </a:r>
          <a:r>
            <a:rPr lang="en-US" sz="12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Preço/Final;</a:t>
          </a:r>
          <a:endParaRPr sz="12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alibri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Média - Preço/Final: </a:t>
          </a: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Retornar a média da coluna </a:t>
          </a:r>
          <a:r>
            <a:rPr lang="en-US" sz="12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Preço/Final.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16</xdr:row>
      <xdr:rowOff>47625</xdr:rowOff>
    </xdr:from>
    <xdr:ext cx="3733800" cy="18383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3479100" y="2860838"/>
          <a:ext cx="3733800" cy="18383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27425" tIns="22850" rIns="0" bIns="0" anchor="t" anchorCtr="0">
          <a:noAutofit/>
        </a:bodyPr>
        <a:lstStyle/>
        <a:p>
          <a:pPr marL="0" lvl="0" indent="0" algn="ctr" rtl="0">
            <a:lnSpc>
              <a:spcPct val="158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200" b="1" i="0" u="sng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Cálculos </a:t>
          </a:r>
          <a:endParaRPr sz="1400"/>
        </a:p>
        <a:p>
          <a:pPr marL="0" lvl="0" indent="0" algn="l" rtl="0">
            <a:lnSpc>
              <a:spcPct val="158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200" b="1" i="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Valor Comissão: </a:t>
          </a:r>
          <a:r>
            <a:rPr lang="en-US" sz="1200" b="0" i="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Valor Vendido multiplicado por 5%;</a:t>
          </a:r>
          <a:endParaRPr sz="1200" b="0" i="0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200" b="1" i="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Salário:</a:t>
          </a:r>
          <a:r>
            <a:rPr lang="en-US" sz="1200" b="0" i="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Valor Comissão Somado com 720;</a:t>
          </a:r>
          <a:endParaRPr sz="1400"/>
        </a:p>
        <a:p>
          <a:pPr marL="0" lvl="0" indent="0" algn="l" rtl="0">
            <a:lnSpc>
              <a:spcPct val="158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200" b="1" i="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Total Salário: </a:t>
          </a:r>
          <a:r>
            <a:rPr lang="en-US" sz="1200" b="0" i="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Soma da coluna Salário;</a:t>
          </a:r>
          <a:endParaRPr sz="1200" b="1" i="0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200" b="1" i="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Maior Salário: </a:t>
          </a:r>
          <a:r>
            <a:rPr lang="en-US" sz="1200" b="0" i="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Retornar o maior valor da coluna  Salário;</a:t>
          </a:r>
          <a:endParaRPr sz="1200" b="1" i="0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lnSpc>
              <a:spcPct val="158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200" b="1" i="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Menor Salário: </a:t>
          </a:r>
          <a:r>
            <a:rPr lang="en-US" sz="1200" b="0" i="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Retornar o menor Valor da coluna  Salário;</a:t>
          </a:r>
          <a:endParaRPr sz="1200" b="1" i="0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200" b="1" i="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Média Salário: </a:t>
          </a:r>
          <a:r>
            <a:rPr lang="en-US" sz="1200" b="0" i="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Retornar a média da coluna  Salário.</a:t>
          </a:r>
          <a:endParaRPr sz="1400"/>
        </a:p>
        <a:p>
          <a:pPr marL="0" lvl="0" indent="0" algn="l" rtl="0">
            <a:lnSpc>
              <a:spcPct val="112500"/>
            </a:lnSpc>
            <a:spcBef>
              <a:spcPts val="0"/>
            </a:spcBef>
            <a:spcAft>
              <a:spcPts val="0"/>
            </a:spcAft>
            <a:buNone/>
          </a:pPr>
          <a:endParaRPr sz="1600" b="0" i="0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19050</xdr:colOff>
      <xdr:row>38</xdr:row>
      <xdr:rowOff>142875</xdr:rowOff>
    </xdr:from>
    <xdr:ext cx="3952875" cy="21336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3369563" y="2717963"/>
          <a:ext cx="3952875" cy="21240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27425" tIns="22850" rIns="0" bIns="0" anchor="t" anchorCtr="0">
          <a:noAutofit/>
        </a:bodyPr>
        <a:lstStyle/>
        <a:p>
          <a:pPr marL="0" lvl="0" indent="0" algn="l" rtl="0">
            <a:lnSpc>
              <a:spcPct val="12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200" b="1" i="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Cálculos</a:t>
          </a:r>
          <a:endParaRPr sz="1200" b="0" i="0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lnSpc>
              <a:spcPct val="12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200" b="1" i="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Valor/Comissão</a:t>
          </a:r>
          <a:r>
            <a:rPr lang="en-US" sz="1200" b="0" i="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: Se o tipo vendedor for tipo 1; Vendas Multiplicado por 2%; Se Tipo Vendedor for tipo 2; Vendas multiplicado por 3%; Se for do tipo 3 Vendas multiplicado por 4%; </a:t>
          </a:r>
          <a:r>
            <a:rPr lang="en-US" sz="1200" b="0" i="1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Usar função SE!!!</a:t>
          </a:r>
          <a:endParaRPr sz="1200" b="0" i="0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lnSpc>
              <a:spcPct val="12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200" b="1" i="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Salário</a:t>
          </a:r>
          <a:r>
            <a:rPr lang="en-US" sz="1200" b="0" i="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: Soma Valor da Venda com o Salário Base</a:t>
          </a:r>
          <a:endParaRPr sz="1400"/>
        </a:p>
        <a:p>
          <a:pPr marL="0" lvl="0" indent="0" algn="l" rtl="0">
            <a:lnSpc>
              <a:spcPct val="12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200" b="1" i="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Total/Salário: </a:t>
          </a:r>
          <a:r>
            <a:rPr lang="en-US" sz="1200" b="0" i="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soma da coluna Salário</a:t>
          </a:r>
          <a:endParaRPr sz="1400"/>
        </a:p>
        <a:p>
          <a:pPr marL="0" lvl="0" indent="0" algn="l" rtl="0">
            <a:lnSpc>
              <a:spcPct val="12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200" b="1" i="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Maior/Salário:: </a:t>
          </a:r>
          <a:r>
            <a:rPr lang="en-US" sz="1200" b="0" i="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retornar o maior valor da coluna </a:t>
          </a:r>
          <a:r>
            <a:rPr lang="en-US" sz="1200" b="0" i="0">
              <a:latin typeface="Calibri"/>
              <a:ea typeface="Calibri"/>
              <a:cs typeface="Calibri"/>
              <a:sym typeface="Calibri"/>
            </a:rPr>
            <a:t>Salário</a:t>
          </a:r>
          <a:endParaRPr sz="1200" b="0" i="0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lnSpc>
              <a:spcPct val="12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200" b="1" i="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Menor/Salário:: </a:t>
          </a:r>
          <a:r>
            <a:rPr lang="en-US" sz="1200" b="0" i="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retornar o menor valor da coluna </a:t>
          </a:r>
          <a:r>
            <a:rPr lang="en-US" sz="1200" b="0" i="0">
              <a:latin typeface="Calibri"/>
              <a:ea typeface="Calibri"/>
              <a:cs typeface="Calibri"/>
              <a:sym typeface="Calibri"/>
            </a:rPr>
            <a:t>Salário</a:t>
          </a:r>
          <a:endParaRPr sz="1200" b="0" i="0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200" b="1" i="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Média/Salário:: </a:t>
          </a:r>
          <a:r>
            <a:rPr lang="en-US" sz="1200" b="0" i="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retornar a média da coluna </a:t>
          </a:r>
          <a:r>
            <a:rPr lang="en-US" sz="1200" b="0" i="0">
              <a:latin typeface="Calibri"/>
              <a:ea typeface="Calibri"/>
              <a:cs typeface="Calibri"/>
              <a:sym typeface="Calibri"/>
            </a:rPr>
            <a:t>Salário</a:t>
          </a:r>
          <a:endParaRPr sz="1200" b="0" i="0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lnSpc>
              <a:spcPct val="93750"/>
            </a:lnSpc>
            <a:spcBef>
              <a:spcPts val="0"/>
            </a:spcBef>
            <a:spcAft>
              <a:spcPts val="0"/>
            </a:spcAft>
            <a:buNone/>
          </a:pPr>
          <a:endParaRPr sz="1600" b="0" i="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endParaRPr sz="1600" b="0" i="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lnSpc>
              <a:spcPct val="93750"/>
            </a:lnSpc>
            <a:spcBef>
              <a:spcPts val="0"/>
            </a:spcBef>
            <a:spcAft>
              <a:spcPts val="0"/>
            </a:spcAft>
            <a:buNone/>
          </a:pPr>
          <a:endParaRPr sz="1600" b="0" i="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</xdr:row>
      <xdr:rowOff>0</xdr:rowOff>
    </xdr:from>
    <xdr:ext cx="5657850" cy="32289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/>
      </xdr:nvSpPr>
      <xdr:spPr>
        <a:xfrm>
          <a:off x="2517075" y="2165513"/>
          <a:ext cx="5657850" cy="32289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27425" tIns="2285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Cálculos</a:t>
          </a:r>
          <a:endParaRPr sz="1400" b="0" i="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2.º</a:t>
          </a:r>
          <a:r>
            <a:rPr lang="en-US" sz="1400" b="0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- Cálculos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Comissão:</a:t>
          </a:r>
          <a:r>
            <a:rPr lang="en-US" sz="1400" b="0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Se a Valor Venda maior que a Meta; Valor Venda multiplicado por 3%; Se a Valor Venda  Igual a Meta ; Valor Venda multiplicado por 2%; SE a Valor Venda for menor que Meta  ; Valor Venda Multiplicar por 1%.   </a:t>
          </a:r>
          <a:r>
            <a:rPr lang="en-US" sz="1400" b="0" i="1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Usar função SE!!!</a:t>
          </a:r>
          <a:endParaRPr sz="1400" b="0" i="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Valor a Receber</a:t>
          </a:r>
          <a:r>
            <a:rPr lang="en-US" sz="1400" b="0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: Comissão somado com Salário Base;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Situação:</a:t>
          </a:r>
          <a:r>
            <a:rPr lang="en-US" sz="1400" b="0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 Se a Meta maior que a Valor Venda; Superou; Se a Meta Igual a Valor Venda; Atingiu; SE a Meta for menor que Valor Venda; Não Atingiu.   Usar função SE!!!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Total/Salário: </a:t>
          </a:r>
          <a:r>
            <a:rPr lang="en-US" sz="1400" b="0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soma da coluna Valor a Receber</a:t>
          </a:r>
          <a:endParaRPr sz="1400"/>
        </a:p>
        <a:p>
          <a:pPr marL="0" lvl="0" indent="0" algn="l" rtl="0">
            <a:lnSpc>
              <a:spcPct val="121428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400" b="1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Maior/Salário</a:t>
          </a:r>
          <a:r>
            <a:rPr lang="en-US" sz="1400" b="0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:: retornar o maior valor da coluna  Valor a Receber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Menor/Salário:</a:t>
          </a:r>
          <a:r>
            <a:rPr lang="en-US" sz="1400" b="0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: retornar o menor valor da coluna  Valor a Receber</a:t>
          </a:r>
          <a:endParaRPr sz="1400"/>
        </a:p>
        <a:p>
          <a:pPr marL="0" lvl="0" indent="0" algn="l" rtl="0">
            <a:lnSpc>
              <a:spcPct val="121428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400" b="1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Média/Salário::</a:t>
          </a:r>
          <a:r>
            <a:rPr lang="en-US" sz="1400" b="0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retornar a média da coluna Valor a Receber</a:t>
          </a:r>
          <a:endParaRPr sz="1400"/>
        </a:p>
        <a:p>
          <a:pPr marL="0" lvl="0" indent="0" algn="l" rtl="0">
            <a:lnSpc>
              <a:spcPct val="106250"/>
            </a:lnSpc>
            <a:spcBef>
              <a:spcPts val="0"/>
            </a:spcBef>
            <a:spcAft>
              <a:spcPts val="0"/>
            </a:spcAft>
            <a:buNone/>
          </a:pPr>
          <a:endParaRPr sz="1600" b="0" i="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lnSpc>
              <a:spcPct val="106250"/>
            </a:lnSpc>
            <a:spcBef>
              <a:spcPts val="0"/>
            </a:spcBef>
            <a:spcAft>
              <a:spcPts val="0"/>
            </a:spcAft>
            <a:buNone/>
          </a:pPr>
          <a:endParaRPr sz="1600" b="0" i="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29</xdr:row>
      <xdr:rowOff>142875</xdr:rowOff>
    </xdr:from>
    <xdr:ext cx="10696575" cy="433387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 txBox="1"/>
      </xdr:nvSpPr>
      <xdr:spPr>
        <a:xfrm>
          <a:off x="0" y="1622588"/>
          <a:ext cx="10692000" cy="431482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FF0000"/>
              </a:solidFill>
              <a:latin typeface="Times New Roman"/>
              <a:ea typeface="Times New Roman"/>
              <a:cs typeface="Times New Roman"/>
              <a:sym typeface="Times New Roman"/>
            </a:rPr>
            <a:t>NOME COMPLETO</a:t>
          </a:r>
          <a:r>
            <a:rPr lang="en-US" sz="12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: </a:t>
          </a:r>
          <a:r>
            <a:rPr lang="en-US" sz="1200" b="1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UTILIZAR FUNÇÃO CONCATENAR</a:t>
          </a:r>
          <a:endParaRPr sz="1200" b="1">
            <a:solidFill>
              <a:srgbClr val="FF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b="1">
            <a:solidFill>
              <a:srgbClr val="FF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FF0000"/>
              </a:solidFill>
              <a:latin typeface="Times New Roman"/>
              <a:ea typeface="Times New Roman"/>
              <a:cs typeface="Times New Roman"/>
              <a:sym typeface="Times New Roman"/>
            </a:rPr>
            <a:t>INSS R$ </a:t>
          </a:r>
          <a:r>
            <a:rPr lang="en-US" sz="12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: </a:t>
          </a:r>
          <a:r>
            <a:rPr lang="en-US" sz="1200" b="1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SALÁRIO BRUTO * INSS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1" i="0" u="none" strike="noStrike" cap="none">
            <a:solidFill>
              <a:schemeClr val="dk1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Times New Roman"/>
            <a:buNone/>
          </a:pPr>
          <a:r>
            <a:rPr lang="en-US" sz="1200" b="1" i="0" u="none" strike="noStrike" cap="none">
              <a:solidFill>
                <a:srgbClr val="FF0000"/>
              </a:solidFill>
              <a:latin typeface="Times New Roman"/>
              <a:ea typeface="Times New Roman"/>
              <a:cs typeface="Times New Roman"/>
              <a:sym typeface="Times New Roman"/>
            </a:rPr>
            <a:t>IMPOSTO DE RENDA R$ </a:t>
          </a:r>
          <a:r>
            <a:rPr lang="en-US" sz="1200" b="0" i="0" u="none" strike="noStrike" cap="non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: </a:t>
          </a:r>
          <a:r>
            <a:rPr lang="en-US" sz="1200" b="1" i="0" u="none" strike="noStrike" cap="non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SALARIO BRUTO * IMPOSTO DE RENDA (RECEITA)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b="1">
            <a:solidFill>
              <a:srgbClr val="FF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FF0000"/>
              </a:solidFill>
              <a:latin typeface="Times New Roman"/>
              <a:ea typeface="Times New Roman"/>
              <a:cs typeface="Times New Roman"/>
              <a:sym typeface="Times New Roman"/>
            </a:rPr>
            <a:t>GRATIFICAÇÃO </a:t>
          </a:r>
          <a:r>
            <a:rPr lang="en-US" sz="1200" b="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: </a:t>
          </a:r>
          <a:r>
            <a:rPr lang="en-US" sz="1200" b="1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SE NÍVEL FUNCIONAL FOR = 1 (200,00) CASO CONTRÁRIO (300,00)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b="1"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FF0000"/>
              </a:solidFill>
              <a:latin typeface="Times New Roman"/>
              <a:ea typeface="Times New Roman"/>
              <a:cs typeface="Times New Roman"/>
              <a:sym typeface="Times New Roman"/>
            </a:rPr>
            <a:t>HORAS EXTRAS (TOTAL) </a:t>
          </a:r>
          <a:r>
            <a:rPr lang="en-US" sz="12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: </a:t>
          </a:r>
          <a:r>
            <a:rPr lang="en-US" sz="1200" b="1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Hora Extra (trab.) * Valor  da Hora Extra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b="1"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FF0000"/>
              </a:solidFill>
              <a:latin typeface="Times New Roman"/>
              <a:ea typeface="Times New Roman"/>
              <a:cs typeface="Times New Roman"/>
              <a:sym typeface="Times New Roman"/>
            </a:rPr>
            <a:t>VALOR DA MENSALIDADE COM DESCONTO </a:t>
          </a:r>
          <a:r>
            <a:rPr lang="en-US" sz="1200" b="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: </a:t>
          </a:r>
          <a:r>
            <a:rPr lang="en-US" sz="1200" b="1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SE O NÚMERO DE FILHOS FOR  MAIOR QUE 2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FÓRMULA: ESCOLA DOS FILHOS</a:t>
          </a:r>
          <a:r>
            <a:rPr lang="en-US" sz="2000" b="1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r>
            <a:rPr lang="en-US" sz="1200" b="1" i="0" u="none" strike="noStrike" cap="non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MENOS</a:t>
          </a:r>
          <a:r>
            <a:rPr lang="en-US" sz="2000" b="1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r>
            <a:rPr lang="en-US" sz="1200" b="1" i="0" u="none" strike="noStrike" cap="non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ESCOLA DOS FILHOS *10%) CASO CONTRÁRIO (ESCOLA DOS FILHOS  MENOS ESCOLA DOS FILHOS * 5%)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b="1" i="0" u="none" strike="noStrike" cap="non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Times New Roman"/>
            <a:buNone/>
          </a:pPr>
          <a:r>
            <a:rPr lang="en-US" sz="1200" b="1" i="0" u="none" strike="noStrike" cap="none">
              <a:solidFill>
                <a:srgbClr val="FF0000"/>
              </a:solidFill>
              <a:latin typeface="Times New Roman"/>
              <a:ea typeface="Times New Roman"/>
              <a:cs typeface="Times New Roman"/>
              <a:sym typeface="Times New Roman"/>
            </a:rPr>
            <a:t>DESCONTOS </a:t>
          </a:r>
          <a:r>
            <a:rPr lang="en-US" sz="1200" b="0" i="0" u="none" strike="noStrike" cap="non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: </a:t>
          </a:r>
          <a:r>
            <a:rPr lang="en-US" sz="1200" b="1" i="0" u="none" strike="noStrike" cap="non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INSS R$ + Imposto de Renda R$ + Valor da Mensalidade com Desconto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b="1" i="0" u="none" strike="noStrike" cap="non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Times New Roman"/>
            <a:buNone/>
          </a:pPr>
          <a:r>
            <a:rPr lang="en-US" sz="1200" b="1">
              <a:solidFill>
                <a:srgbClr val="FF0000"/>
              </a:solidFill>
              <a:latin typeface="Times New Roman"/>
              <a:ea typeface="Times New Roman"/>
              <a:cs typeface="Times New Roman"/>
              <a:sym typeface="Times New Roman"/>
            </a:rPr>
            <a:t>SALÁRIO LÍQUIDO : </a:t>
          </a:r>
          <a:r>
            <a:rPr lang="en-US" sz="1200" b="1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SALÁRIO BRUTO </a:t>
          </a:r>
          <a:r>
            <a:rPr lang="en-US" sz="1200" b="1" i="0" u="none" strike="noStrike" cap="non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+  Gratificação R$ + Hora Extra (Total.)</a:t>
          </a:r>
          <a:r>
            <a:rPr lang="en-US" sz="1200" b="1" i="0" u="none" strike="noStrike" cap="none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 - Descontos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0" i="0" u="none" strike="noStrike" cap="none">
            <a:solidFill>
              <a:srgbClr val="FF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Times New Roman"/>
            <a:buNone/>
          </a:pPr>
          <a:r>
            <a:rPr lang="en-US" sz="1200" b="0" i="0" u="none" strike="noStrike" cap="none">
              <a:solidFill>
                <a:srgbClr val="FF0000"/>
              </a:solidFill>
              <a:latin typeface="Times New Roman"/>
              <a:ea typeface="Times New Roman"/>
              <a:cs typeface="Times New Roman"/>
              <a:sym typeface="Times New Roman"/>
            </a:rPr>
            <a:t>SITUAÇÃO: </a:t>
          </a:r>
          <a:r>
            <a:rPr lang="en-US" sz="1200" b="0" i="0" u="none" strike="noStrike" cap="non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SE O SALÁRIO LÍQUIDO FOR MAIOR OU IGUAL A ZERO "DIVIDAS QUITADAS" SENÃO "DEVENDO".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1" i="0" u="none" strike="noStrike" cap="none">
            <a:solidFill>
              <a:schemeClr val="dk1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1" i="0" u="none" strike="noStrike" cap="none">
            <a:solidFill>
              <a:schemeClr val="dk1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1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2578125" defaultRowHeight="15" customHeight="1" x14ac:dyDescent="0.25"/>
  <cols>
    <col min="1" max="1" width="24.7109375" customWidth="1"/>
    <col min="2" max="2" width="11.85546875" customWidth="1"/>
    <col min="3" max="3" width="11.42578125" customWidth="1"/>
    <col min="4" max="4" width="6.7109375" customWidth="1"/>
    <col min="5" max="5" width="11.7109375" customWidth="1"/>
    <col min="6" max="7" width="9.140625" customWidth="1"/>
    <col min="8" max="8" width="11.28515625" customWidth="1"/>
    <col min="9" max="9" width="9.140625" customWidth="1"/>
    <col min="10" max="26" width="8.7109375" customWidth="1"/>
  </cols>
  <sheetData>
    <row r="1" spans="1:26" ht="12.75" customHeight="1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25">
      <c r="A4" s="7" t="s">
        <v>10</v>
      </c>
      <c r="B4" s="7">
        <v>650</v>
      </c>
      <c r="C4" s="7">
        <v>90</v>
      </c>
      <c r="D4" s="7">
        <v>3560</v>
      </c>
      <c r="E4" s="7">
        <v>758</v>
      </c>
      <c r="F4" s="7"/>
      <c r="G4" s="7"/>
      <c r="H4" s="7"/>
      <c r="I4" s="7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7" t="s">
        <v>11</v>
      </c>
      <c r="B5" s="7">
        <v>620</v>
      </c>
      <c r="C5" s="7">
        <v>93</v>
      </c>
      <c r="D5" s="7">
        <v>3120</v>
      </c>
      <c r="E5" s="7">
        <v>681</v>
      </c>
      <c r="F5" s="7"/>
      <c r="G5" s="7"/>
      <c r="H5" s="7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2.75" customHeight="1" x14ac:dyDescent="0.25">
      <c r="A6" s="7" t="s">
        <v>12</v>
      </c>
      <c r="B6" s="7">
        <v>760</v>
      </c>
      <c r="C6" s="7">
        <v>93</v>
      </c>
      <c r="D6" s="7">
        <v>2850</v>
      </c>
      <c r="E6" s="7">
        <v>860</v>
      </c>
      <c r="F6" s="7"/>
      <c r="G6" s="7"/>
      <c r="H6" s="7"/>
      <c r="I6" s="7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.75" customHeight="1" x14ac:dyDescent="0.25">
      <c r="A7" s="7" t="s">
        <v>13</v>
      </c>
      <c r="B7" s="7">
        <v>560</v>
      </c>
      <c r="C7" s="7">
        <v>100</v>
      </c>
      <c r="D7" s="7">
        <v>3500</v>
      </c>
      <c r="E7" s="7">
        <v>974</v>
      </c>
      <c r="F7" s="7"/>
      <c r="G7" s="7"/>
      <c r="H7" s="7"/>
      <c r="I7" s="7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 x14ac:dyDescent="0.25">
      <c r="A8" s="7" t="s">
        <v>14</v>
      </c>
      <c r="B8" s="7">
        <v>630</v>
      </c>
      <c r="C8" s="7">
        <v>110</v>
      </c>
      <c r="D8" s="7">
        <v>3200</v>
      </c>
      <c r="E8" s="7">
        <v>368</v>
      </c>
      <c r="F8" s="7"/>
      <c r="G8" s="7"/>
      <c r="H8" s="7"/>
      <c r="I8" s="7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 x14ac:dyDescent="0.25">
      <c r="A9" s="7" t="s">
        <v>15</v>
      </c>
      <c r="B9" s="7">
        <v>1020</v>
      </c>
      <c r="C9" s="7">
        <v>115</v>
      </c>
      <c r="D9" s="7">
        <v>3080</v>
      </c>
      <c r="E9" s="7">
        <v>685</v>
      </c>
      <c r="F9" s="7"/>
      <c r="G9" s="7"/>
      <c r="H9" s="7"/>
      <c r="I9" s="7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 x14ac:dyDescent="0.25">
      <c r="A10" s="7" t="s">
        <v>16</v>
      </c>
      <c r="B10" s="7">
        <v>1500</v>
      </c>
      <c r="C10" s="7">
        <v>100</v>
      </c>
      <c r="D10" s="7">
        <v>4580</v>
      </c>
      <c r="E10" s="7">
        <v>753</v>
      </c>
      <c r="F10" s="7"/>
      <c r="G10" s="7"/>
      <c r="H10" s="7"/>
      <c r="I10" s="7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 x14ac:dyDescent="0.25">
      <c r="A11" s="7" t="s">
        <v>17</v>
      </c>
      <c r="B11" s="7">
        <v>1200</v>
      </c>
      <c r="C11" s="7">
        <v>100</v>
      </c>
      <c r="D11" s="7">
        <v>4600</v>
      </c>
      <c r="E11" s="7">
        <v>600</v>
      </c>
      <c r="F11" s="7"/>
      <c r="G11" s="7"/>
      <c r="H11" s="7"/>
      <c r="I11" s="7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customHeight="1" x14ac:dyDescent="0.25">
      <c r="A12" s="7" t="s">
        <v>18</v>
      </c>
      <c r="B12" s="7">
        <v>1100</v>
      </c>
      <c r="C12" s="7">
        <v>105</v>
      </c>
      <c r="D12" s="7">
        <v>4600</v>
      </c>
      <c r="E12" s="7">
        <v>550</v>
      </c>
      <c r="F12" s="7"/>
      <c r="G12" s="7"/>
      <c r="H12" s="7"/>
      <c r="I12" s="7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customHeight="1" x14ac:dyDescent="0.25">
      <c r="A13" s="7" t="s">
        <v>19</v>
      </c>
      <c r="B13" s="7">
        <v>1300</v>
      </c>
      <c r="C13" s="7">
        <v>105</v>
      </c>
      <c r="D13" s="7">
        <v>4650</v>
      </c>
      <c r="E13" s="7">
        <v>725</v>
      </c>
      <c r="F13" s="7"/>
      <c r="G13" s="7"/>
      <c r="H13" s="7"/>
      <c r="I13" s="7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 customHeight="1" x14ac:dyDescent="0.25">
      <c r="A14" s="7" t="s">
        <v>20</v>
      </c>
      <c r="B14" s="7">
        <v>1300</v>
      </c>
      <c r="C14" s="7">
        <v>115</v>
      </c>
      <c r="D14" s="7">
        <v>4650</v>
      </c>
      <c r="E14" s="7">
        <v>687</v>
      </c>
      <c r="F14" s="7"/>
      <c r="G14" s="7"/>
      <c r="H14" s="7"/>
      <c r="I14" s="7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customHeight="1" x14ac:dyDescent="0.25">
      <c r="A15" s="7" t="s">
        <v>21</v>
      </c>
      <c r="B15" s="7">
        <v>1400</v>
      </c>
      <c r="C15" s="7">
        <v>115</v>
      </c>
      <c r="D15" s="7">
        <v>4700</v>
      </c>
      <c r="E15" s="7">
        <v>800</v>
      </c>
      <c r="F15" s="7"/>
      <c r="G15" s="7"/>
      <c r="H15" s="7"/>
      <c r="I15" s="7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customHeight="1" x14ac:dyDescent="0.25">
      <c r="A17" s="5"/>
      <c r="B17" s="5"/>
      <c r="C17" s="5"/>
      <c r="D17" s="5"/>
      <c r="E17" s="5"/>
      <c r="F17" s="5"/>
      <c r="G17" s="5"/>
      <c r="H17" s="7" t="s">
        <v>22</v>
      </c>
      <c r="I17" s="7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customHeight="1" x14ac:dyDescent="0.25">
      <c r="A18" s="5"/>
      <c r="B18" s="5"/>
      <c r="C18" s="5"/>
      <c r="D18" s="5"/>
      <c r="E18" s="5"/>
      <c r="F18" s="5"/>
      <c r="G18" s="5"/>
      <c r="H18" s="7" t="s">
        <v>23</v>
      </c>
      <c r="I18" s="7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customHeight="1" x14ac:dyDescent="0.25">
      <c r="A19" s="5"/>
      <c r="B19" s="5"/>
      <c r="C19" s="5"/>
      <c r="D19" s="5"/>
      <c r="E19" s="5"/>
      <c r="F19" s="5"/>
      <c r="G19" s="5"/>
      <c r="H19" s="7" t="s">
        <v>24</v>
      </c>
      <c r="I19" s="7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 x14ac:dyDescent="0.25">
      <c r="A20" s="5"/>
      <c r="B20" s="5"/>
      <c r="C20" s="5"/>
      <c r="D20" s="5"/>
      <c r="E20" s="5"/>
      <c r="F20" s="5"/>
      <c r="G20" s="5"/>
      <c r="H20" s="7" t="s">
        <v>25</v>
      </c>
      <c r="I20" s="7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 x14ac:dyDescent="0.25">
      <c r="A24" s="8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 x14ac:dyDescent="0.25">
      <c r="A25" s="8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 x14ac:dyDescent="0.25">
      <c r="A26" s="9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 x14ac:dyDescent="0.25">
      <c r="A27" s="10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 x14ac:dyDescent="0.25">
      <c r="A28" s="9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 x14ac:dyDescent="0.25">
      <c r="A29" s="10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 x14ac:dyDescent="0.25">
      <c r="A30" s="10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 x14ac:dyDescent="0.25">
      <c r="A31" s="10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 x14ac:dyDescent="0.25">
      <c r="A32" s="9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 x14ac:dyDescent="0.25">
      <c r="A33" s="10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 x14ac:dyDescent="0.25">
      <c r="A34" s="10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 x14ac:dyDescent="0.25">
      <c r="A35" s="10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 x14ac:dyDescent="0.25">
      <c r="A36" s="8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 x14ac:dyDescent="0.25">
      <c r="A37" s="8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 x14ac:dyDescent="0.25">
      <c r="A38" s="8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 x14ac:dyDescent="0.25">
      <c r="A39" s="8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 x14ac:dyDescent="0.25">
      <c r="A40" s="8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 x14ac:dyDescent="0.25">
      <c r="A41" s="8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 x14ac:dyDescent="0.25">
      <c r="A42" s="8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 x14ac:dyDescent="0.25">
      <c r="A43" s="8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 x14ac:dyDescent="0.25">
      <c r="A44" s="10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customHeight="1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customHeight="1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customHeight="1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customHeight="1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customHeight="1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customHeight="1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customHeight="1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511811024" right="0.511811024" top="0.78740157499999996" bottom="0.78740157499999996" header="0" footer="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 x14ac:dyDescent="0.25"/>
  <cols>
    <col min="1" max="2" width="9.140625" customWidth="1"/>
    <col min="3" max="3" width="11.7109375" customWidth="1"/>
    <col min="4" max="4" width="9.140625" customWidth="1"/>
    <col min="5" max="5" width="13.42578125" customWidth="1"/>
    <col min="6" max="6" width="12" customWidth="1"/>
    <col min="7" max="7" width="11.140625" customWidth="1"/>
    <col min="8" max="8" width="14.7109375" customWidth="1"/>
    <col min="9" max="9" width="11.85546875" customWidth="1"/>
    <col min="10" max="10" width="11.5703125" customWidth="1"/>
    <col min="11" max="11" width="17" customWidth="1"/>
    <col min="12" max="26" width="8.7109375" customWidth="1"/>
  </cols>
  <sheetData>
    <row r="1" spans="1:26" ht="14.25" customHeight="1" x14ac:dyDescent="0.25">
      <c r="A1" s="38" t="s">
        <v>26</v>
      </c>
      <c r="B1" s="39"/>
      <c r="C1" s="40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25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35</v>
      </c>
      <c r="J3" s="1" t="s">
        <v>36</v>
      </c>
      <c r="K3" s="11" t="s">
        <v>37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5">
      <c r="A4" s="1" t="s">
        <v>38</v>
      </c>
      <c r="B4" s="1" t="s">
        <v>39</v>
      </c>
      <c r="C4" s="1">
        <v>4500</v>
      </c>
      <c r="D4" s="1" t="s">
        <v>40</v>
      </c>
      <c r="E4" s="12">
        <v>25</v>
      </c>
      <c r="F4" s="1"/>
      <c r="G4" s="1"/>
      <c r="H4" s="1"/>
      <c r="I4" s="1"/>
      <c r="J4" s="1"/>
      <c r="K4" s="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5">
      <c r="A5" s="1" t="s">
        <v>41</v>
      </c>
      <c r="B5" s="1" t="s">
        <v>42</v>
      </c>
      <c r="C5" s="1">
        <v>6500</v>
      </c>
      <c r="D5" s="1" t="s">
        <v>40</v>
      </c>
      <c r="E5" s="12">
        <v>30</v>
      </c>
      <c r="F5" s="1"/>
      <c r="G5" s="1"/>
      <c r="H5" s="1"/>
      <c r="I5" s="1"/>
      <c r="J5" s="1"/>
      <c r="K5" s="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25">
      <c r="A6" s="1" t="s">
        <v>43</v>
      </c>
      <c r="B6" s="1" t="s">
        <v>44</v>
      </c>
      <c r="C6" s="1">
        <v>12500</v>
      </c>
      <c r="D6" s="1" t="s">
        <v>40</v>
      </c>
      <c r="E6" s="12">
        <v>12</v>
      </c>
      <c r="F6" s="1"/>
      <c r="G6" s="1"/>
      <c r="H6" s="1"/>
      <c r="I6" s="1"/>
      <c r="J6" s="1"/>
      <c r="K6" s="1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25">
      <c r="A7" s="1" t="s">
        <v>45</v>
      </c>
      <c r="B7" s="1" t="s">
        <v>46</v>
      </c>
      <c r="C7" s="1">
        <v>10258</v>
      </c>
      <c r="D7" s="1" t="s">
        <v>40</v>
      </c>
      <c r="E7" s="12">
        <v>35</v>
      </c>
      <c r="F7" s="1"/>
      <c r="G7" s="1"/>
      <c r="H7" s="1"/>
      <c r="I7" s="1"/>
      <c r="J7" s="1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25">
      <c r="A8" s="1" t="s">
        <v>47</v>
      </c>
      <c r="B8" s="1" t="s">
        <v>48</v>
      </c>
      <c r="C8" s="1">
        <v>9852</v>
      </c>
      <c r="D8" s="1" t="s">
        <v>40</v>
      </c>
      <c r="E8" s="12">
        <v>23.56</v>
      </c>
      <c r="F8" s="1"/>
      <c r="G8" s="1"/>
      <c r="H8" s="1"/>
      <c r="I8" s="1"/>
      <c r="J8" s="1"/>
      <c r="K8" s="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25">
      <c r="A9" s="1" t="s">
        <v>49</v>
      </c>
      <c r="B9" s="1" t="s">
        <v>50</v>
      </c>
      <c r="C9" s="1">
        <v>10258</v>
      </c>
      <c r="D9" s="1" t="s">
        <v>40</v>
      </c>
      <c r="E9" s="12">
        <v>25.8</v>
      </c>
      <c r="F9" s="1"/>
      <c r="G9" s="1"/>
      <c r="H9" s="1"/>
      <c r="I9" s="1"/>
      <c r="J9" s="1"/>
      <c r="K9" s="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25">
      <c r="A10" s="1" t="s">
        <v>51</v>
      </c>
      <c r="B10" s="1" t="s">
        <v>52</v>
      </c>
      <c r="C10" s="1">
        <v>15680</v>
      </c>
      <c r="D10" s="1" t="s">
        <v>40</v>
      </c>
      <c r="E10" s="12">
        <v>24.35</v>
      </c>
      <c r="F10" s="1"/>
      <c r="G10" s="1"/>
      <c r="H10" s="1"/>
      <c r="I10" s="1"/>
      <c r="J10" s="1"/>
      <c r="K10" s="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25">
      <c r="A11" s="1" t="s">
        <v>53</v>
      </c>
      <c r="B11" s="1" t="s">
        <v>54</v>
      </c>
      <c r="C11" s="1">
        <v>14632</v>
      </c>
      <c r="D11" s="1" t="s">
        <v>40</v>
      </c>
      <c r="E11" s="12">
        <v>26.8</v>
      </c>
      <c r="F11" s="1"/>
      <c r="G11" s="1"/>
      <c r="H11" s="1"/>
      <c r="I11" s="1"/>
      <c r="J11" s="1"/>
      <c r="K11" s="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25">
      <c r="A12" s="1" t="s">
        <v>55</v>
      </c>
      <c r="B12" s="1" t="s">
        <v>56</v>
      </c>
      <c r="C12" s="1">
        <v>3450</v>
      </c>
      <c r="D12" s="1" t="s">
        <v>40</v>
      </c>
      <c r="E12" s="12">
        <v>22</v>
      </c>
      <c r="F12" s="1"/>
      <c r="G12" s="1"/>
      <c r="H12" s="1"/>
      <c r="I12" s="1"/>
      <c r="J12" s="1"/>
      <c r="K12" s="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25">
      <c r="A13" s="1" t="s">
        <v>57</v>
      </c>
      <c r="B13" s="1" t="s">
        <v>42</v>
      </c>
      <c r="C13" s="1">
        <v>6550</v>
      </c>
      <c r="D13" s="1" t="s">
        <v>40</v>
      </c>
      <c r="E13" s="12">
        <v>13</v>
      </c>
      <c r="F13" s="1"/>
      <c r="G13" s="1"/>
      <c r="H13" s="1"/>
      <c r="I13" s="1"/>
      <c r="J13" s="1"/>
      <c r="K13" s="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25">
      <c r="A14" s="1" t="s">
        <v>58</v>
      </c>
      <c r="B14" s="1" t="s">
        <v>59</v>
      </c>
      <c r="C14" s="1">
        <v>12500</v>
      </c>
      <c r="D14" s="1" t="s">
        <v>40</v>
      </c>
      <c r="E14" s="12">
        <v>14</v>
      </c>
      <c r="F14" s="1"/>
      <c r="G14" s="1"/>
      <c r="H14" s="1"/>
      <c r="I14" s="1"/>
      <c r="J14" s="1"/>
      <c r="K14" s="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25">
      <c r="A15" s="2"/>
      <c r="B15" s="2"/>
      <c r="C15" s="2"/>
      <c r="D15" s="2"/>
      <c r="E15" s="1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25">
      <c r="A16" s="2"/>
      <c r="B16" s="2"/>
      <c r="C16" s="2"/>
      <c r="D16" s="2"/>
      <c r="E16" s="2"/>
      <c r="F16" s="2"/>
      <c r="G16" s="2"/>
      <c r="H16" s="41" t="s">
        <v>60</v>
      </c>
      <c r="I16" s="40"/>
      <c r="J16" s="1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25">
      <c r="A17" s="2"/>
      <c r="B17" s="2"/>
      <c r="C17" s="2"/>
      <c r="D17" s="2"/>
      <c r="E17" s="2"/>
      <c r="F17" s="2"/>
      <c r="G17" s="2"/>
      <c r="H17" s="41" t="s">
        <v>61</v>
      </c>
      <c r="I17" s="40"/>
      <c r="J17" s="1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25">
      <c r="A18" s="2"/>
      <c r="B18" s="2"/>
      <c r="C18" s="2"/>
      <c r="D18" s="2"/>
      <c r="E18" s="2"/>
      <c r="F18" s="2"/>
      <c r="G18" s="2"/>
      <c r="H18" s="41" t="s">
        <v>62</v>
      </c>
      <c r="I18" s="40"/>
      <c r="J18" s="1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25">
      <c r="A19" s="2"/>
      <c r="B19" s="2"/>
      <c r="C19" s="2"/>
      <c r="D19" s="2"/>
      <c r="E19" s="2"/>
      <c r="F19" s="2"/>
      <c r="G19" s="2"/>
      <c r="H19" s="41" t="s">
        <v>63</v>
      </c>
      <c r="I19" s="40"/>
      <c r="J19" s="1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C1"/>
    <mergeCell ref="H16:I16"/>
    <mergeCell ref="H17:I17"/>
    <mergeCell ref="H18:I18"/>
    <mergeCell ref="H19:I19"/>
  </mergeCells>
  <pageMargins left="0.511811024" right="0.511811024" top="0.78740157499999996" bottom="0.78740157499999996" header="0" footer="0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workbookViewId="0"/>
  </sheetViews>
  <sheetFormatPr defaultColWidth="14.42578125" defaultRowHeight="15" customHeight="1" x14ac:dyDescent="0.25"/>
  <cols>
    <col min="1" max="1" width="20.140625" customWidth="1"/>
    <col min="2" max="2" width="14.28515625" customWidth="1"/>
    <col min="3" max="3" width="14.7109375" customWidth="1"/>
    <col min="4" max="4" width="13.28515625" customWidth="1"/>
    <col min="5" max="5" width="10.5703125" customWidth="1"/>
    <col min="6" max="26" width="8.7109375" customWidth="1"/>
  </cols>
  <sheetData>
    <row r="1" spans="1:4" x14ac:dyDescent="0.25">
      <c r="A1" s="43" t="s">
        <v>64</v>
      </c>
      <c r="B1" s="40"/>
    </row>
    <row r="3" spans="1:4" x14ac:dyDescent="0.25">
      <c r="A3" s="14" t="s">
        <v>65</v>
      </c>
      <c r="B3" s="14" t="s">
        <v>66</v>
      </c>
      <c r="C3" s="14" t="s">
        <v>67</v>
      </c>
      <c r="D3" s="14" t="s">
        <v>68</v>
      </c>
    </row>
    <row r="4" spans="1:4" x14ac:dyDescent="0.25">
      <c r="A4" s="15" t="s">
        <v>69</v>
      </c>
      <c r="B4" s="16">
        <v>198564</v>
      </c>
      <c r="C4" s="16"/>
      <c r="D4" s="16"/>
    </row>
    <row r="5" spans="1:4" x14ac:dyDescent="0.25">
      <c r="A5" s="15" t="s">
        <v>70</v>
      </c>
      <c r="B5" s="16">
        <v>256035</v>
      </c>
      <c r="C5" s="16"/>
      <c r="D5" s="16"/>
    </row>
    <row r="6" spans="1:4" x14ac:dyDescent="0.25">
      <c r="A6" s="15" t="s">
        <v>71</v>
      </c>
      <c r="B6" s="16">
        <v>200350</v>
      </c>
      <c r="C6" s="16"/>
      <c r="D6" s="16"/>
    </row>
    <row r="7" spans="1:4" x14ac:dyDescent="0.25">
      <c r="A7" s="15" t="s">
        <v>72</v>
      </c>
      <c r="B7" s="16">
        <v>150358</v>
      </c>
      <c r="C7" s="16"/>
      <c r="D7" s="16"/>
    </row>
    <row r="8" spans="1:4" x14ac:dyDescent="0.25">
      <c r="A8" s="15" t="s">
        <v>73</v>
      </c>
      <c r="B8" s="16">
        <v>258357</v>
      </c>
      <c r="C8" s="16"/>
      <c r="D8" s="16"/>
    </row>
    <row r="9" spans="1:4" x14ac:dyDescent="0.25">
      <c r="A9" s="15" t="s">
        <v>74</v>
      </c>
      <c r="B9" s="16">
        <v>351321</v>
      </c>
      <c r="C9" s="16"/>
      <c r="D9" s="16"/>
    </row>
    <row r="10" spans="1:4" x14ac:dyDescent="0.25">
      <c r="A10" s="15" t="s">
        <v>75</v>
      </c>
      <c r="B10" s="16">
        <v>284574</v>
      </c>
      <c r="C10" s="16"/>
      <c r="D10" s="16"/>
    </row>
    <row r="11" spans="1:4" x14ac:dyDescent="0.25">
      <c r="A11" s="15" t="s">
        <v>76</v>
      </c>
      <c r="B11" s="16">
        <v>350258</v>
      </c>
      <c r="C11" s="16"/>
      <c r="D11" s="16"/>
    </row>
    <row r="13" spans="1:4" x14ac:dyDescent="0.25">
      <c r="C13" s="14" t="s">
        <v>77</v>
      </c>
      <c r="D13" s="15"/>
    </row>
    <row r="14" spans="1:4" x14ac:dyDescent="0.25">
      <c r="C14" s="14" t="s">
        <v>78</v>
      </c>
      <c r="D14" s="15"/>
    </row>
    <row r="15" spans="1:4" x14ac:dyDescent="0.25">
      <c r="C15" s="14" t="s">
        <v>79</v>
      </c>
      <c r="D15" s="15"/>
    </row>
    <row r="16" spans="1:4" x14ac:dyDescent="0.25">
      <c r="C16" s="14" t="s">
        <v>80</v>
      </c>
      <c r="D16" s="15"/>
    </row>
    <row r="21" spans="1:6" ht="15.75" customHeight="1" x14ac:dyDescent="0.25"/>
    <row r="22" spans="1:6" ht="15.75" customHeight="1" x14ac:dyDescent="0.25"/>
    <row r="23" spans="1:6" ht="15.75" customHeight="1" x14ac:dyDescent="0.25"/>
    <row r="24" spans="1:6" ht="15.75" customHeight="1" x14ac:dyDescent="0.25"/>
    <row r="25" spans="1:6" ht="15.75" customHeight="1" x14ac:dyDescent="0.25"/>
    <row r="26" spans="1:6" ht="15.75" customHeight="1" x14ac:dyDescent="0.25"/>
    <row r="27" spans="1:6" ht="15.75" customHeight="1" x14ac:dyDescent="0.25"/>
    <row r="28" spans="1:6" ht="15.75" customHeight="1" x14ac:dyDescent="0.25">
      <c r="A28" s="43" t="s">
        <v>81</v>
      </c>
      <c r="B28" s="39"/>
      <c r="C28" s="40"/>
    </row>
    <row r="29" spans="1:6" ht="15.75" customHeight="1" x14ac:dyDescent="0.25"/>
    <row r="30" spans="1:6" ht="15.75" customHeight="1" x14ac:dyDescent="0.25">
      <c r="A30" s="14" t="s">
        <v>65</v>
      </c>
      <c r="B30" s="17" t="s">
        <v>82</v>
      </c>
      <c r="C30" s="14" t="s">
        <v>83</v>
      </c>
      <c r="D30" s="17" t="s">
        <v>84</v>
      </c>
      <c r="E30" s="17" t="s">
        <v>85</v>
      </c>
      <c r="F30" s="14" t="s">
        <v>4</v>
      </c>
    </row>
    <row r="31" spans="1:6" ht="15.75" customHeight="1" x14ac:dyDescent="0.25">
      <c r="A31" s="15" t="s">
        <v>69</v>
      </c>
      <c r="B31" s="15">
        <v>2</v>
      </c>
      <c r="C31" s="16">
        <v>150358</v>
      </c>
      <c r="D31" s="16">
        <f t="shared" ref="D31:D38" si="0">IF(B31=1,C31*2%,IF(B31=2,C31*3%,IF(B31=3,C31*4%)))</f>
        <v>4510.74</v>
      </c>
      <c r="E31" s="16">
        <v>380</v>
      </c>
      <c r="F31" s="15"/>
    </row>
    <row r="32" spans="1:6" ht="15.75" customHeight="1" x14ac:dyDescent="0.25">
      <c r="A32" s="15" t="s">
        <v>70</v>
      </c>
      <c r="B32" s="15">
        <v>1</v>
      </c>
      <c r="C32" s="16">
        <v>258357</v>
      </c>
      <c r="D32" s="16">
        <f t="shared" si="0"/>
        <v>5167.1400000000003</v>
      </c>
      <c r="E32" s="16">
        <v>400</v>
      </c>
      <c r="F32" s="15"/>
    </row>
    <row r="33" spans="1:7" ht="15.75" customHeight="1" x14ac:dyDescent="0.25">
      <c r="A33" s="15" t="s">
        <v>71</v>
      </c>
      <c r="B33" s="15">
        <v>3</v>
      </c>
      <c r="C33" s="16">
        <v>200350</v>
      </c>
      <c r="D33" s="16">
        <f t="shared" si="0"/>
        <v>8014</v>
      </c>
      <c r="E33" s="16">
        <v>310</v>
      </c>
      <c r="F33" s="15"/>
    </row>
    <row r="34" spans="1:7" ht="15.75" customHeight="1" x14ac:dyDescent="0.25">
      <c r="A34" s="15" t="s">
        <v>72</v>
      </c>
      <c r="B34" s="15">
        <v>3</v>
      </c>
      <c r="C34" s="16">
        <v>350258</v>
      </c>
      <c r="D34" s="16">
        <f t="shared" si="0"/>
        <v>14010.32</v>
      </c>
      <c r="E34" s="16">
        <v>301</v>
      </c>
      <c r="F34" s="15"/>
    </row>
    <row r="35" spans="1:7" ht="15.75" customHeight="1" x14ac:dyDescent="0.25">
      <c r="A35" s="15" t="s">
        <v>73</v>
      </c>
      <c r="B35" s="15">
        <v>1</v>
      </c>
      <c r="C35" s="16">
        <v>198564</v>
      </c>
      <c r="D35" s="16">
        <f t="shared" si="0"/>
        <v>3971.28</v>
      </c>
      <c r="E35" s="16">
        <v>360</v>
      </c>
      <c r="F35" s="15"/>
    </row>
    <row r="36" spans="1:7" ht="15.75" customHeight="1" x14ac:dyDescent="0.25">
      <c r="A36" s="15" t="s">
        <v>74</v>
      </c>
      <c r="B36" s="15">
        <v>2</v>
      </c>
      <c r="C36" s="16">
        <v>256035</v>
      </c>
      <c r="D36" s="16">
        <f t="shared" si="0"/>
        <v>7681.0499999999993</v>
      </c>
      <c r="E36" s="16">
        <v>320</v>
      </c>
      <c r="F36" s="15"/>
    </row>
    <row r="37" spans="1:7" ht="15.75" customHeight="1" x14ac:dyDescent="0.25">
      <c r="A37" s="15" t="s">
        <v>75</v>
      </c>
      <c r="B37" s="15">
        <v>3</v>
      </c>
      <c r="C37" s="16">
        <v>284574</v>
      </c>
      <c r="D37" s="16">
        <f t="shared" si="0"/>
        <v>11382.960000000001</v>
      </c>
      <c r="E37" s="16">
        <v>430</v>
      </c>
      <c r="F37" s="15"/>
    </row>
    <row r="38" spans="1:7" ht="15.75" customHeight="1" x14ac:dyDescent="0.25">
      <c r="A38" s="15" t="s">
        <v>76</v>
      </c>
      <c r="B38" s="15">
        <v>2</v>
      </c>
      <c r="C38" s="16">
        <v>351321</v>
      </c>
      <c r="D38" s="16">
        <f t="shared" si="0"/>
        <v>10539.63</v>
      </c>
      <c r="E38" s="16">
        <v>425</v>
      </c>
      <c r="F38" s="15"/>
    </row>
    <row r="39" spans="1:7" ht="15.75" customHeight="1" x14ac:dyDescent="0.25"/>
    <row r="40" spans="1:7" ht="15.75" customHeight="1" x14ac:dyDescent="0.25">
      <c r="E40" s="42" t="s">
        <v>77</v>
      </c>
      <c r="F40" s="40"/>
      <c r="G40" s="15"/>
    </row>
    <row r="41" spans="1:7" ht="15.75" customHeight="1" x14ac:dyDescent="0.25">
      <c r="E41" s="42" t="s">
        <v>78</v>
      </c>
      <c r="F41" s="40"/>
      <c r="G41" s="15"/>
    </row>
    <row r="42" spans="1:7" ht="15.75" customHeight="1" x14ac:dyDescent="0.25">
      <c r="E42" s="42" t="s">
        <v>79</v>
      </c>
      <c r="F42" s="40"/>
      <c r="G42" s="15"/>
    </row>
    <row r="43" spans="1:7" ht="15.75" customHeight="1" x14ac:dyDescent="0.25">
      <c r="E43" s="42" t="s">
        <v>80</v>
      </c>
      <c r="F43" s="40"/>
      <c r="G43" s="15"/>
    </row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E43:F43"/>
    <mergeCell ref="A1:B1"/>
    <mergeCell ref="A28:C28"/>
    <mergeCell ref="E40:F40"/>
    <mergeCell ref="E41:F41"/>
    <mergeCell ref="E42:F42"/>
  </mergeCells>
  <pageMargins left="0.51181102362204722" right="0.51181102362204722" top="0.59055118110236227" bottom="0.59055118110236227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"/>
  <sheetViews>
    <sheetView workbookViewId="0"/>
  </sheetViews>
  <sheetFormatPr defaultColWidth="14.42578125" defaultRowHeight="15" customHeight="1" x14ac:dyDescent="0.25"/>
  <cols>
    <col min="1" max="1" width="19.85546875" customWidth="1"/>
    <col min="2" max="3" width="13.28515625" customWidth="1"/>
    <col min="4" max="4" width="8.7109375" customWidth="1"/>
    <col min="5" max="5" width="12.140625" customWidth="1"/>
    <col min="6" max="6" width="15" customWidth="1"/>
    <col min="7" max="26" width="8.7109375" customWidth="1"/>
  </cols>
  <sheetData>
    <row r="1" spans="1:7" x14ac:dyDescent="0.25">
      <c r="A1" s="18" t="s">
        <v>86</v>
      </c>
    </row>
    <row r="3" spans="1:7" x14ac:dyDescent="0.25">
      <c r="A3" s="14" t="s">
        <v>87</v>
      </c>
      <c r="B3" s="14" t="s">
        <v>88</v>
      </c>
      <c r="C3" s="14" t="s">
        <v>89</v>
      </c>
      <c r="D3" s="14" t="s">
        <v>90</v>
      </c>
      <c r="E3" s="14" t="s">
        <v>85</v>
      </c>
      <c r="F3" s="14" t="s">
        <v>91</v>
      </c>
      <c r="G3" s="14" t="s">
        <v>92</v>
      </c>
    </row>
    <row r="4" spans="1:7" x14ac:dyDescent="0.25">
      <c r="A4" s="15" t="s">
        <v>93</v>
      </c>
      <c r="B4" s="16">
        <v>15000</v>
      </c>
      <c r="C4" s="16">
        <v>18600</v>
      </c>
      <c r="D4" s="15"/>
      <c r="E4" s="16">
        <v>850</v>
      </c>
      <c r="F4" s="15"/>
      <c r="G4" s="15"/>
    </row>
    <row r="5" spans="1:7" x14ac:dyDescent="0.25">
      <c r="A5" s="15" t="s">
        <v>94</v>
      </c>
      <c r="B5" s="16">
        <v>10000</v>
      </c>
      <c r="C5" s="16">
        <v>9999</v>
      </c>
      <c r="D5" s="15"/>
      <c r="E5" s="16">
        <v>640</v>
      </c>
      <c r="F5" s="15"/>
      <c r="G5" s="15"/>
    </row>
    <row r="6" spans="1:7" x14ac:dyDescent="0.25">
      <c r="A6" s="15" t="s">
        <v>95</v>
      </c>
      <c r="B6" s="16">
        <v>8500</v>
      </c>
      <c r="C6" s="16">
        <v>1900</v>
      </c>
      <c r="D6" s="15"/>
      <c r="E6" s="16">
        <v>520</v>
      </c>
      <c r="F6" s="15"/>
      <c r="G6" s="15"/>
    </row>
    <row r="7" spans="1:7" x14ac:dyDescent="0.25">
      <c r="A7" s="15" t="s">
        <v>96</v>
      </c>
      <c r="B7" s="16">
        <v>9571</v>
      </c>
      <c r="C7" s="16">
        <v>25485</v>
      </c>
      <c r="D7" s="15"/>
      <c r="E7" s="16">
        <v>350</v>
      </c>
      <c r="F7" s="15"/>
      <c r="G7" s="15"/>
    </row>
    <row r="8" spans="1:7" x14ac:dyDescent="0.25">
      <c r="A8" s="15" t="s">
        <v>97</v>
      </c>
      <c r="B8" s="16">
        <v>8500</v>
      </c>
      <c r="C8" s="16">
        <v>8500</v>
      </c>
      <c r="D8" s="15"/>
      <c r="E8" s="16">
        <v>680</v>
      </c>
      <c r="F8" s="15"/>
      <c r="G8" s="15"/>
    </row>
    <row r="9" spans="1:7" x14ac:dyDescent="0.25">
      <c r="A9" s="15" t="s">
        <v>98</v>
      </c>
      <c r="B9" s="16">
        <v>15630</v>
      </c>
      <c r="C9" s="16">
        <v>18600</v>
      </c>
      <c r="D9" s="15"/>
      <c r="E9" s="16">
        <v>951</v>
      </c>
      <c r="F9" s="15"/>
      <c r="G9" s="15"/>
    </row>
    <row r="10" spans="1:7" x14ac:dyDescent="0.25">
      <c r="A10" s="15" t="s">
        <v>99</v>
      </c>
      <c r="B10" s="16">
        <v>19640</v>
      </c>
      <c r="C10" s="16">
        <v>19640</v>
      </c>
      <c r="D10" s="15"/>
      <c r="E10" s="16">
        <v>753</v>
      </c>
      <c r="F10" s="15"/>
      <c r="G10" s="15"/>
    </row>
    <row r="11" spans="1:7" x14ac:dyDescent="0.25">
      <c r="A11" s="15" t="s">
        <v>100</v>
      </c>
      <c r="B11" s="16">
        <v>22500</v>
      </c>
      <c r="C11" s="16">
        <v>35680</v>
      </c>
      <c r="D11" s="15"/>
      <c r="E11" s="16">
        <v>852</v>
      </c>
      <c r="F11" s="15"/>
      <c r="G11" s="15"/>
    </row>
    <row r="12" spans="1:7" x14ac:dyDescent="0.25">
      <c r="A12" s="15" t="s">
        <v>101</v>
      </c>
      <c r="B12" s="16">
        <v>18025</v>
      </c>
      <c r="C12" s="16">
        <v>12583</v>
      </c>
      <c r="D12" s="15"/>
      <c r="E12" s="16">
        <v>684</v>
      </c>
      <c r="F12" s="15"/>
      <c r="G12" s="15"/>
    </row>
    <row r="13" spans="1:7" x14ac:dyDescent="0.25">
      <c r="A13" s="15" t="s">
        <v>102</v>
      </c>
      <c r="B13" s="16">
        <v>8600</v>
      </c>
      <c r="C13" s="16">
        <v>5700</v>
      </c>
      <c r="D13" s="15"/>
      <c r="E13" s="16">
        <v>1257</v>
      </c>
      <c r="F13" s="15"/>
      <c r="G13" s="15"/>
    </row>
    <row r="15" spans="1:7" x14ac:dyDescent="0.25">
      <c r="D15" s="44" t="s">
        <v>103</v>
      </c>
      <c r="E15" s="40"/>
      <c r="F15" s="16"/>
    </row>
    <row r="16" spans="1:7" x14ac:dyDescent="0.25">
      <c r="D16" s="44" t="s">
        <v>104</v>
      </c>
      <c r="E16" s="40"/>
      <c r="F16" s="16"/>
    </row>
    <row r="17" spans="4:6" x14ac:dyDescent="0.25">
      <c r="D17" s="44" t="s">
        <v>105</v>
      </c>
      <c r="E17" s="40"/>
      <c r="F17" s="16"/>
    </row>
    <row r="18" spans="4:6" x14ac:dyDescent="0.25">
      <c r="D18" s="44" t="s">
        <v>106</v>
      </c>
      <c r="E18" s="40"/>
      <c r="F18" s="16"/>
    </row>
    <row r="21" spans="4:6" ht="15.75" customHeight="1" x14ac:dyDescent="0.25"/>
    <row r="22" spans="4:6" ht="15.75" customHeight="1" x14ac:dyDescent="0.25"/>
    <row r="23" spans="4:6" ht="15.75" customHeight="1" x14ac:dyDescent="0.25"/>
    <row r="24" spans="4:6" ht="15.75" customHeight="1" x14ac:dyDescent="0.25"/>
    <row r="25" spans="4:6" ht="15.75" customHeight="1" x14ac:dyDescent="0.25"/>
    <row r="26" spans="4:6" ht="15.75" customHeight="1" x14ac:dyDescent="0.25"/>
    <row r="27" spans="4:6" ht="15.75" customHeight="1" x14ac:dyDescent="0.25"/>
    <row r="28" spans="4:6" ht="15.75" customHeight="1" x14ac:dyDescent="0.25"/>
    <row r="29" spans="4:6" ht="15.75" customHeight="1" x14ac:dyDescent="0.25"/>
    <row r="30" spans="4:6" ht="15.75" customHeight="1" x14ac:dyDescent="0.25"/>
    <row r="31" spans="4:6" ht="15.75" customHeight="1" x14ac:dyDescent="0.25"/>
    <row r="32" spans="4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D15:E15"/>
    <mergeCell ref="D16:E16"/>
    <mergeCell ref="D17:E17"/>
    <mergeCell ref="D18:E18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000"/>
  <sheetViews>
    <sheetView tabSelected="1" zoomScale="85" zoomScaleNormal="85" workbookViewId="0">
      <selection activeCell="D9" sqref="D9"/>
    </sheetView>
  </sheetViews>
  <sheetFormatPr defaultColWidth="14.42578125" defaultRowHeight="15" customHeight="1" x14ac:dyDescent="0.25"/>
  <cols>
    <col min="1" max="1" width="11.42578125" customWidth="1"/>
    <col min="2" max="2" width="25.5703125" customWidth="1"/>
    <col min="3" max="3" width="20.7109375" customWidth="1"/>
    <col min="4" max="4" width="26" customWidth="1"/>
    <col min="5" max="5" width="17.140625" customWidth="1"/>
    <col min="6" max="6" width="11.5703125" customWidth="1"/>
    <col min="7" max="7" width="22.7109375" customWidth="1"/>
    <col min="8" max="8" width="11.28515625" customWidth="1"/>
    <col min="9" max="9" width="14.28515625" bestFit="1" customWidth="1"/>
    <col min="10" max="10" width="18.7109375" customWidth="1"/>
    <col min="11" max="11" width="8.7109375" customWidth="1"/>
    <col min="12" max="12" width="14.140625" customWidth="1"/>
    <col min="13" max="13" width="8.7109375" customWidth="1"/>
    <col min="14" max="14" width="15.42578125" customWidth="1"/>
    <col min="15" max="15" width="16.140625" customWidth="1"/>
    <col min="16" max="16" width="14.42578125" customWidth="1"/>
    <col min="17" max="17" width="17" customWidth="1"/>
    <col min="18" max="18" width="19" customWidth="1"/>
    <col min="19" max="28" width="8.7109375" customWidth="1"/>
  </cols>
  <sheetData>
    <row r="1" spans="1:18" ht="27" customHeight="1" x14ac:dyDescent="0.25">
      <c r="A1" s="45" t="s">
        <v>107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7"/>
    </row>
    <row r="2" spans="1:18" ht="15.75" x14ac:dyDescent="0.25">
      <c r="A2" s="48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</row>
    <row r="3" spans="1:18" ht="15.75" x14ac:dyDescent="0.2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8" ht="15.75" x14ac:dyDescent="0.25">
      <c r="A4" s="50" t="s">
        <v>108</v>
      </c>
      <c r="B4" s="39"/>
      <c r="C4" s="39"/>
      <c r="D4" s="39"/>
      <c r="E4" s="40"/>
      <c r="F4" s="20">
        <v>0.20499999999999999</v>
      </c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</row>
    <row r="5" spans="1:18" ht="15.75" x14ac:dyDescent="0.25">
      <c r="A5" s="50" t="s">
        <v>109</v>
      </c>
      <c r="B5" s="39"/>
      <c r="C5" s="39"/>
      <c r="D5" s="39"/>
      <c r="E5" s="40"/>
      <c r="F5" s="21">
        <v>22.15</v>
      </c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8" ht="16.5" thickBot="1" x14ac:dyDescent="0.3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3"/>
      <c r="M6" s="23"/>
      <c r="N6" s="23"/>
      <c r="O6" s="23"/>
      <c r="P6" s="23"/>
      <c r="Q6" s="23"/>
    </row>
    <row r="7" spans="1:18" ht="48.75" thickTop="1" thickBot="1" x14ac:dyDescent="0.3">
      <c r="A7" s="24" t="s">
        <v>110</v>
      </c>
      <c r="B7" s="25" t="s">
        <v>111</v>
      </c>
      <c r="C7" s="26" t="s">
        <v>112</v>
      </c>
      <c r="D7" s="26" t="s">
        <v>113</v>
      </c>
      <c r="E7" s="25" t="s">
        <v>114</v>
      </c>
      <c r="F7" s="25" t="s">
        <v>115</v>
      </c>
      <c r="G7" s="25" t="s">
        <v>116</v>
      </c>
      <c r="H7" s="25" t="s">
        <v>117</v>
      </c>
      <c r="I7" s="25" t="s">
        <v>118</v>
      </c>
      <c r="J7" s="25" t="s">
        <v>119</v>
      </c>
      <c r="K7" s="27" t="s">
        <v>120</v>
      </c>
      <c r="L7" s="28" t="s">
        <v>121</v>
      </c>
      <c r="M7" s="29" t="s">
        <v>122</v>
      </c>
      <c r="N7" s="29" t="s">
        <v>123</v>
      </c>
      <c r="O7" s="30" t="s">
        <v>124</v>
      </c>
      <c r="P7" s="31" t="s">
        <v>125</v>
      </c>
      <c r="Q7" s="29" t="s">
        <v>126</v>
      </c>
      <c r="R7" s="29" t="s">
        <v>92</v>
      </c>
    </row>
    <row r="8" spans="1:18" ht="16.5" thickBot="1" x14ac:dyDescent="0.3">
      <c r="A8" s="32">
        <v>1</v>
      </c>
      <c r="B8" s="52" t="s">
        <v>127</v>
      </c>
      <c r="C8" s="53" t="s">
        <v>128</v>
      </c>
      <c r="D8" s="53"/>
      <c r="E8" s="53">
        <v>1200</v>
      </c>
      <c r="F8" s="54">
        <v>0.1</v>
      </c>
      <c r="G8" s="54">
        <v>0.09</v>
      </c>
      <c r="H8" s="53"/>
      <c r="I8" s="53"/>
      <c r="J8" s="55"/>
      <c r="K8" s="33">
        <v>4</v>
      </c>
      <c r="L8" s="51"/>
      <c r="M8" s="33">
        <v>3</v>
      </c>
      <c r="N8" s="51">
        <v>1500</v>
      </c>
      <c r="O8" s="33"/>
      <c r="P8" s="56"/>
      <c r="Q8" s="56"/>
      <c r="R8" s="56"/>
    </row>
    <row r="9" spans="1:18" ht="16.5" thickBot="1" x14ac:dyDescent="0.3">
      <c r="A9" s="32">
        <v>2</v>
      </c>
      <c r="B9" s="52" t="s">
        <v>129</v>
      </c>
      <c r="C9" s="53" t="s">
        <v>130</v>
      </c>
      <c r="D9" s="53"/>
      <c r="E9" s="53">
        <v>951</v>
      </c>
      <c r="F9" s="54">
        <v>9.9900000000000003E-2</v>
      </c>
      <c r="G9" s="54">
        <v>0.08</v>
      </c>
      <c r="H9" s="53"/>
      <c r="I9" s="53"/>
      <c r="J9" s="55"/>
      <c r="K9" s="33">
        <v>6</v>
      </c>
      <c r="L9" s="51"/>
      <c r="M9" s="33">
        <v>2</v>
      </c>
      <c r="N9" s="51">
        <v>600</v>
      </c>
      <c r="O9" s="33"/>
      <c r="P9" s="56"/>
      <c r="Q9" s="56"/>
      <c r="R9" s="56"/>
    </row>
    <row r="10" spans="1:18" ht="16.5" thickBot="1" x14ac:dyDescent="0.3">
      <c r="A10" s="32">
        <v>2</v>
      </c>
      <c r="B10" s="52" t="s">
        <v>131</v>
      </c>
      <c r="C10" s="53" t="s">
        <v>132</v>
      </c>
      <c r="D10" s="53"/>
      <c r="E10" s="53">
        <v>456</v>
      </c>
      <c r="F10" s="54">
        <v>8.6400000000000005E-2</v>
      </c>
      <c r="G10" s="54">
        <v>0.06</v>
      </c>
      <c r="H10" s="53"/>
      <c r="I10" s="53"/>
      <c r="J10" s="55"/>
      <c r="K10" s="33">
        <v>8</v>
      </c>
      <c r="L10" s="51"/>
      <c r="M10" s="33">
        <v>4</v>
      </c>
      <c r="N10" s="51">
        <v>1200</v>
      </c>
      <c r="O10" s="33"/>
      <c r="P10" s="56"/>
      <c r="Q10" s="56"/>
      <c r="R10" s="56"/>
    </row>
    <row r="11" spans="1:18" ht="16.5" thickBot="1" x14ac:dyDescent="0.3">
      <c r="A11" s="32">
        <v>1</v>
      </c>
      <c r="B11" s="52" t="s">
        <v>133</v>
      </c>
      <c r="C11" s="53" t="s">
        <v>134</v>
      </c>
      <c r="D11" s="53"/>
      <c r="E11" s="53">
        <v>500</v>
      </c>
      <c r="F11" s="54">
        <v>8.5000000000000006E-2</v>
      </c>
      <c r="G11" s="54">
        <v>0.06</v>
      </c>
      <c r="H11" s="53"/>
      <c r="I11" s="53"/>
      <c r="J11" s="55"/>
      <c r="K11" s="33">
        <v>9</v>
      </c>
      <c r="L11" s="51"/>
      <c r="M11" s="33">
        <v>1</v>
      </c>
      <c r="N11" s="51">
        <v>300</v>
      </c>
      <c r="O11" s="33"/>
      <c r="P11" s="56"/>
      <c r="Q11" s="56"/>
      <c r="R11" s="56"/>
    </row>
    <row r="12" spans="1:18" ht="16.5" thickBot="1" x14ac:dyDescent="0.3">
      <c r="A12" s="32">
        <v>1</v>
      </c>
      <c r="B12" s="52" t="s">
        <v>135</v>
      </c>
      <c r="C12" s="53" t="s">
        <v>136</v>
      </c>
      <c r="D12" s="53"/>
      <c r="E12" s="53">
        <v>400</v>
      </c>
      <c r="F12" s="54">
        <v>8.9899999999999994E-2</v>
      </c>
      <c r="G12" s="54">
        <v>7.0000000000000007E-2</v>
      </c>
      <c r="H12" s="53"/>
      <c r="I12" s="53"/>
      <c r="J12" s="55"/>
      <c r="K12" s="33">
        <v>10</v>
      </c>
      <c r="L12" s="51"/>
      <c r="M12" s="33">
        <v>3</v>
      </c>
      <c r="N12" s="51">
        <v>900</v>
      </c>
      <c r="O12" s="33"/>
      <c r="P12" s="56"/>
      <c r="Q12" s="56"/>
      <c r="R12" s="56"/>
    </row>
    <row r="13" spans="1:18" ht="16.5" thickBot="1" x14ac:dyDescent="0.3">
      <c r="A13" s="32">
        <v>2</v>
      </c>
      <c r="B13" s="52" t="s">
        <v>137</v>
      </c>
      <c r="C13" s="53" t="s">
        <v>138</v>
      </c>
      <c r="D13" s="53"/>
      <c r="E13" s="53">
        <v>459</v>
      </c>
      <c r="F13" s="54">
        <v>6.25E-2</v>
      </c>
      <c r="G13" s="54">
        <v>0.05</v>
      </c>
      <c r="H13" s="53"/>
      <c r="I13" s="53"/>
      <c r="J13" s="55"/>
      <c r="K13" s="33">
        <v>12</v>
      </c>
      <c r="L13" s="51"/>
      <c r="M13" s="33">
        <v>3</v>
      </c>
      <c r="N13" s="51">
        <v>900</v>
      </c>
      <c r="O13" s="33"/>
      <c r="P13" s="56"/>
      <c r="Q13" s="56"/>
      <c r="R13" s="56"/>
    </row>
    <row r="14" spans="1:18" ht="16.5" thickBot="1" x14ac:dyDescent="0.3">
      <c r="A14" s="32">
        <v>2</v>
      </c>
      <c r="B14" s="52" t="s">
        <v>139</v>
      </c>
      <c r="C14" s="53" t="s">
        <v>140</v>
      </c>
      <c r="D14" s="53"/>
      <c r="E14" s="53">
        <v>478</v>
      </c>
      <c r="F14" s="54">
        <v>7.1199999999999999E-2</v>
      </c>
      <c r="G14" s="54">
        <v>0.05</v>
      </c>
      <c r="H14" s="53"/>
      <c r="I14" s="53"/>
      <c r="J14" s="55"/>
      <c r="K14" s="33">
        <v>3</v>
      </c>
      <c r="L14" s="51"/>
      <c r="M14" s="33">
        <v>2</v>
      </c>
      <c r="N14" s="51">
        <v>600</v>
      </c>
      <c r="O14" s="33"/>
      <c r="P14" s="56"/>
      <c r="Q14" s="56"/>
      <c r="R14" s="56"/>
    </row>
    <row r="15" spans="1:18" ht="16.5" thickBot="1" x14ac:dyDescent="0.3">
      <c r="A15" s="34">
        <v>1</v>
      </c>
      <c r="B15" s="57" t="s">
        <v>141</v>
      </c>
      <c r="C15" s="58" t="s">
        <v>142</v>
      </c>
      <c r="D15" s="58"/>
      <c r="E15" s="58">
        <v>600</v>
      </c>
      <c r="F15" s="59">
        <v>5.9900000000000002E-2</v>
      </c>
      <c r="G15" s="59">
        <v>0.04</v>
      </c>
      <c r="H15" s="53"/>
      <c r="I15" s="53"/>
      <c r="J15" s="55"/>
      <c r="K15" s="35">
        <v>7</v>
      </c>
      <c r="L15" s="51"/>
      <c r="M15" s="35">
        <v>1</v>
      </c>
      <c r="N15" s="60">
        <v>300</v>
      </c>
      <c r="O15" s="33"/>
      <c r="P15" s="56"/>
      <c r="Q15" s="56"/>
      <c r="R15" s="56"/>
    </row>
    <row r="16" spans="1:18" ht="17.25" thickTop="1" thickBot="1" x14ac:dyDescent="0.3">
      <c r="A16" s="32">
        <v>2</v>
      </c>
      <c r="B16" s="52" t="s">
        <v>143</v>
      </c>
      <c r="C16" s="53" t="s">
        <v>144</v>
      </c>
      <c r="D16" s="53"/>
      <c r="E16" s="53">
        <v>790</v>
      </c>
      <c r="F16" s="54">
        <v>0.08</v>
      </c>
      <c r="G16" s="54">
        <v>7.0000000000000007E-2</v>
      </c>
      <c r="H16" s="53"/>
      <c r="I16" s="53"/>
      <c r="J16" s="55"/>
      <c r="K16" s="33">
        <v>5</v>
      </c>
      <c r="L16" s="51"/>
      <c r="M16" s="33">
        <v>2</v>
      </c>
      <c r="N16" s="51">
        <v>500</v>
      </c>
      <c r="O16" s="33"/>
      <c r="P16" s="56"/>
      <c r="Q16" s="56"/>
      <c r="R16" s="56"/>
    </row>
    <row r="17" spans="1:18" ht="16.5" thickBot="1" x14ac:dyDescent="0.3">
      <c r="A17" s="32">
        <v>2</v>
      </c>
      <c r="B17" s="52" t="s">
        <v>133</v>
      </c>
      <c r="C17" s="53" t="s">
        <v>145</v>
      </c>
      <c r="D17" s="53"/>
      <c r="E17" s="53">
        <v>999</v>
      </c>
      <c r="F17" s="54">
        <v>9.9900000000000003E-2</v>
      </c>
      <c r="G17" s="54">
        <v>0.09</v>
      </c>
      <c r="H17" s="53"/>
      <c r="I17" s="53"/>
      <c r="J17" s="55"/>
      <c r="K17" s="33">
        <v>7</v>
      </c>
      <c r="L17" s="51"/>
      <c r="M17" s="33">
        <v>1</v>
      </c>
      <c r="N17" s="51">
        <v>678</v>
      </c>
      <c r="O17" s="33"/>
      <c r="P17" s="56"/>
      <c r="Q17" s="56"/>
      <c r="R17" s="56"/>
    </row>
    <row r="18" spans="1:18" ht="16.5" thickBot="1" x14ac:dyDescent="0.3">
      <c r="A18" s="32">
        <v>1</v>
      </c>
      <c r="B18" s="52" t="s">
        <v>146</v>
      </c>
      <c r="C18" s="53" t="s">
        <v>147</v>
      </c>
      <c r="D18" s="53"/>
      <c r="E18" s="53">
        <v>366</v>
      </c>
      <c r="F18" s="54">
        <v>7.0000000000000007E-2</v>
      </c>
      <c r="G18" s="54">
        <v>7.0000000000000007E-2</v>
      </c>
      <c r="H18" s="53"/>
      <c r="I18" s="53"/>
      <c r="J18" s="55"/>
      <c r="K18" s="33">
        <v>9</v>
      </c>
      <c r="L18" s="51"/>
      <c r="M18" s="33">
        <v>4</v>
      </c>
      <c r="N18" s="51">
        <v>1200</v>
      </c>
      <c r="O18" s="33"/>
      <c r="P18" s="56"/>
      <c r="Q18" s="56"/>
      <c r="R18" s="56"/>
    </row>
    <row r="19" spans="1:18" ht="16.5" thickBot="1" x14ac:dyDescent="0.3">
      <c r="A19" s="32">
        <v>1</v>
      </c>
      <c r="B19" s="52" t="s">
        <v>148</v>
      </c>
      <c r="C19" s="53" t="s">
        <v>149</v>
      </c>
      <c r="D19" s="53"/>
      <c r="E19" s="53">
        <v>523</v>
      </c>
      <c r="F19" s="54">
        <v>6.9000000000000006E-2</v>
      </c>
      <c r="G19" s="54">
        <v>0.08</v>
      </c>
      <c r="H19" s="53"/>
      <c r="I19" s="53"/>
      <c r="J19" s="55"/>
      <c r="K19" s="33">
        <v>4</v>
      </c>
      <c r="L19" s="51"/>
      <c r="M19" s="33">
        <v>1</v>
      </c>
      <c r="N19" s="51">
        <v>300</v>
      </c>
      <c r="O19" s="33"/>
      <c r="P19" s="56"/>
      <c r="Q19" s="56"/>
      <c r="R19" s="56"/>
    </row>
    <row r="20" spans="1:18" ht="16.5" thickBot="1" x14ac:dyDescent="0.3">
      <c r="A20" s="32">
        <v>1</v>
      </c>
      <c r="B20" s="52" t="s">
        <v>150</v>
      </c>
      <c r="C20" s="53" t="s">
        <v>151</v>
      </c>
      <c r="D20" s="53"/>
      <c r="E20" s="53">
        <v>421</v>
      </c>
      <c r="F20" s="54">
        <v>8.7999999999999995E-2</v>
      </c>
      <c r="G20" s="54">
        <v>0.05</v>
      </c>
      <c r="H20" s="53"/>
      <c r="I20" s="53"/>
      <c r="J20" s="55"/>
      <c r="K20" s="33">
        <v>13</v>
      </c>
      <c r="L20" s="51"/>
      <c r="M20" s="33">
        <v>5</v>
      </c>
      <c r="N20" s="51">
        <v>800</v>
      </c>
      <c r="O20" s="33"/>
      <c r="P20" s="56"/>
      <c r="Q20" s="56"/>
      <c r="R20" s="56"/>
    </row>
    <row r="21" spans="1:18" ht="15.75" customHeight="1" thickBot="1" x14ac:dyDescent="0.3">
      <c r="A21" s="32">
        <v>1</v>
      </c>
      <c r="B21" s="52" t="s">
        <v>152</v>
      </c>
      <c r="C21" s="53" t="s">
        <v>153</v>
      </c>
      <c r="D21" s="53"/>
      <c r="E21" s="53">
        <v>437</v>
      </c>
      <c r="F21" s="54">
        <v>6.9000000000000006E-2</v>
      </c>
      <c r="G21" s="54">
        <v>0.08</v>
      </c>
      <c r="H21" s="53"/>
      <c r="I21" s="53"/>
      <c r="J21" s="55"/>
      <c r="K21" s="33">
        <v>10</v>
      </c>
      <c r="L21" s="51"/>
      <c r="M21" s="33">
        <v>3</v>
      </c>
      <c r="N21" s="51">
        <v>789</v>
      </c>
      <c r="O21" s="33"/>
      <c r="P21" s="56"/>
      <c r="Q21" s="56"/>
      <c r="R21" s="56"/>
    </row>
    <row r="22" spans="1:18" ht="15.75" customHeight="1" thickBot="1" x14ac:dyDescent="0.3">
      <c r="A22" s="32">
        <v>1</v>
      </c>
      <c r="B22" s="52" t="s">
        <v>154</v>
      </c>
      <c r="C22" s="53" t="s">
        <v>155</v>
      </c>
      <c r="D22" s="53"/>
      <c r="E22" s="53">
        <v>678</v>
      </c>
      <c r="F22" s="54">
        <v>5.8999999999999997E-2</v>
      </c>
      <c r="G22" s="54">
        <v>0.09</v>
      </c>
      <c r="H22" s="53"/>
      <c r="I22" s="53"/>
      <c r="J22" s="55"/>
      <c r="K22" s="33">
        <v>4</v>
      </c>
      <c r="L22" s="51"/>
      <c r="M22" s="33">
        <v>1</v>
      </c>
      <c r="N22" s="51">
        <v>3000</v>
      </c>
      <c r="O22" s="33"/>
      <c r="P22" s="56"/>
      <c r="Q22" s="56"/>
      <c r="R22" s="56"/>
    </row>
    <row r="23" spans="1:18" ht="15.75" customHeight="1" thickBot="1" x14ac:dyDescent="0.3">
      <c r="A23" s="34">
        <v>2</v>
      </c>
      <c r="B23" s="57" t="s">
        <v>156</v>
      </c>
      <c r="C23" s="58" t="s">
        <v>157</v>
      </c>
      <c r="D23" s="58"/>
      <c r="E23" s="58">
        <v>897</v>
      </c>
      <c r="F23" s="59">
        <v>8.8999999999999996E-2</v>
      </c>
      <c r="G23" s="59">
        <v>0.06</v>
      </c>
      <c r="H23" s="53"/>
      <c r="I23" s="53"/>
      <c r="J23" s="55"/>
      <c r="K23" s="35">
        <v>8</v>
      </c>
      <c r="L23" s="51"/>
      <c r="M23" s="35">
        <v>2</v>
      </c>
      <c r="N23" s="60">
        <v>1500</v>
      </c>
      <c r="O23" s="33"/>
      <c r="P23" s="56"/>
      <c r="Q23" s="56"/>
      <c r="R23" s="56"/>
    </row>
    <row r="24" spans="1:18" ht="15.75" customHeight="1" thickTop="1" x14ac:dyDescent="0.25"/>
    <row r="25" spans="1:18" ht="15.75" customHeight="1" x14ac:dyDescent="0.25"/>
    <row r="26" spans="1:18" ht="15.75" customHeight="1" x14ac:dyDescent="0.25"/>
    <row r="27" spans="1:18" ht="15.75" customHeight="1" x14ac:dyDescent="0.25">
      <c r="B27" s="36" t="s">
        <v>158</v>
      </c>
      <c r="C27" s="37"/>
      <c r="D27" s="36" t="s">
        <v>159</v>
      </c>
      <c r="E27" s="37"/>
      <c r="G27" s="36" t="s">
        <v>160</v>
      </c>
      <c r="H27" s="37"/>
      <c r="J27" s="36" t="s">
        <v>161</v>
      </c>
      <c r="K27" s="37"/>
    </row>
    <row r="28" spans="1:18" ht="15.75" customHeight="1" x14ac:dyDescent="0.25">
      <c r="B28" s="36" t="s">
        <v>162</v>
      </c>
      <c r="C28" s="37"/>
      <c r="D28" s="36" t="s">
        <v>163</v>
      </c>
      <c r="E28" s="37"/>
      <c r="G28" s="36" t="s">
        <v>164</v>
      </c>
      <c r="H28" s="37"/>
    </row>
    <row r="29" spans="1:18" ht="15.75" customHeight="1" x14ac:dyDescent="0.25">
      <c r="G29" s="36" t="s">
        <v>165</v>
      </c>
      <c r="H29" s="37"/>
    </row>
    <row r="30" spans="1:18" ht="15.75" customHeight="1" x14ac:dyDescent="0.25"/>
    <row r="31" spans="1:18" ht="15.75" customHeight="1" x14ac:dyDescent="0.25"/>
    <row r="32" spans="1:1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1:R1"/>
    <mergeCell ref="A2:Q2"/>
    <mergeCell ref="A4:E4"/>
    <mergeCell ref="A5:E5"/>
  </mergeCells>
  <pageMargins left="0.511811024" right="0.511811024" top="0.78740157499999996" bottom="0.78740157499999996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Plan3</vt:lpstr>
      <vt:lpstr>Plan4</vt:lpstr>
      <vt:lpstr>Plan6</vt:lpstr>
      <vt:lpstr>Plan11</vt:lpstr>
      <vt:lpstr>EMPRESA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senai</dc:creator>
  <cp:lastModifiedBy>Professor.Cetafaju</cp:lastModifiedBy>
  <dcterms:created xsi:type="dcterms:W3CDTF">2008-08-29T18:03:07Z</dcterms:created>
  <dcterms:modified xsi:type="dcterms:W3CDTF">2025-09-02T16:47:43Z</dcterms:modified>
</cp:coreProperties>
</file>